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ill + Baitha %" sheetId="1" r:id="rId1"/>
  </sheets>
  <definedNames>
    <definedName name="_xlnm._FilterDatabase" localSheetId="0" hidden="1">'Bill + Baitha %'!$A$5:$M$19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"/>
    <numFmt numFmtId="165" formatCode="0.00&quot;%&quot;"/>
    <numFmt numFmtId="166" formatCode="0"/>
    <numFmt numFmtId="167" formatCode="#,##0.##"/>
  </numFmts>
  <fonts count="7">
    <font>
      <sz val="11"/>
      <name val="Calibri"/>
    </font>
    <font>
      <b/>
      <sz val="11"/>
      <color rgb="FFFFFFFF"/>
      <name val="Calibri"/>
    </font>
    <font>
      <b/>
      <sz val="11"/>
      <color rgb="FFB45309"/>
      <name val="Calibri"/>
    </font>
    <font>
      <b/>
      <sz val="14"/>
      <color rgb="FF0E2A47"/>
      <name val="Calibri"/>
    </font>
    <font>
      <b/>
      <sz val="11"/>
      <color rgb="FF0E2A47"/>
      <name val="Calibri"/>
    </font>
    <font>
      <b/>
      <sz val="11"/>
      <color rgb="FF166534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E2A47"/>
        <bgColor indexed="64"/>
      </patternFill>
    </fill>
    <fill>
      <patternFill patternType="solid">
        <fgColor rgb="FFFFF1E2"/>
        <bgColor indexed="64"/>
      </patternFill>
    </fill>
    <fill>
      <patternFill patternType="solid">
        <fgColor rgb="FFF28A1E"/>
        <bgColor indexed="64"/>
      </patternFill>
    </fill>
    <fill>
      <patternFill patternType="solid">
        <fgColor rgb="FF15803D"/>
        <bgColor indexed="64"/>
      </patternFill>
    </fill>
    <fill>
      <patternFill patternType="solid">
        <fgColor rgb="FFE7F6EC"/>
        <bgColor indexed="64"/>
      </patternFill>
    </fill>
    <fill>
      <patternFill patternType="solid">
        <fgColor rgb="FFFFF3C4"/>
        <bgColor indexed="64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wrapText="1" vertical="center" horizont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0" fontId="0" fillId="0" borderId="1" xfId="0" applyBorder="1" applyAlignment="1">
      <alignment wrapText="1" vertical="top"/>
    </xf>
    <xf numFmtId="165" fontId="2" fillId="3" borderId="1" xfId="0" applyNumberFormat="1" applyFont="1" applyFill="1" applyBorder="1"/>
    <xf numFmtId="0" fontId="3" fillId="0" borderId="0" xfId="0" applyFont="1"/>
    <xf numFmtId="0" fontId="2" fillId="3" borderId="1" xfId="0" applyFont="1" applyFill="1" applyBorder="1" applyAlignment="1">
      <alignment wrapText="1"/>
    </xf>
    <xf numFmtId="0" fontId="4" fillId="0" borderId="1" xfId="0" applyFont="1" applyBorder="1"/>
    <xf numFmtId="0" fontId="1" fillId="4" borderId="1" xfId="0" applyFont="1" applyFill="1" applyBorder="1" applyAlignment="1">
      <alignment wrapText="1" vertical="center" horizontal="center"/>
    </xf>
    <xf numFmtId="0" fontId="1" fillId="5" borderId="1" xfId="0" applyFont="1" applyFill="1" applyBorder="1" applyAlignment="1">
      <alignment wrapText="1" vertical="center" horizontal="center"/>
    </xf>
    <xf numFmtId="165" fontId="5" fillId="6" borderId="1" xfId="0" applyNumberFormat="1" applyFont="1" applyFill="1" applyBorder="1"/>
    <xf numFmtId="164" fontId="5" fillId="6" borderId="1" xfId="0" applyNumberFormat="1" applyFont="1" applyFill="1" applyBorder="1"/>
    <xf numFmtId="165" fontId="6" fillId="7" borderId="1" xfId="0" applyNumberFormat="1" applyFont="1" applyFill="1" applyBorder="1"/>
    <xf numFmtId="164" fontId="6" fillId="0" borderId="1" xfId="0" applyNumberFormat="1" applyFont="1" applyBorder="1"/>
    <xf numFmtId="0" fontId="6" fillId="0" borderId="1" xfId="0" applyFont="1" applyBorder="1"/>
    <xf numFmtId="166" fontId="5" fillId="6" borderId="1" xfId="0" applyNumberFormat="1" applyFont="1" applyFill="1" applyBorder="1"/>
    <xf numFmtId="167" fontId="0" fillId="0" borderId="1" xfId="0" applyNumberFormat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5" topLeftCell="A6" activePane="bottomLeft" state="frozen"/>
      <selection pane="bottomLeft"/>
    </sheetView>
  </sheetViews>
  <cols>
    <col min="1" max="1" width="6.0" customWidth="1"/>
    <col min="2" max="2" width="30.0" customWidth="1"/>
    <col min="3" max="3" width="14.0" customWidth="1"/>
    <col min="4" max="4" width="11.0" customWidth="1"/>
    <col min="5" max="5" width="11.0" customWidth="1"/>
    <col min="6" max="6" width="11.0" customWidth="1"/>
    <col min="7" max="7" width="11.0" customWidth="1"/>
    <col min="8" max="8" width="11.0" customWidth="1"/>
    <col min="9" max="9" width="11.0" customWidth="1"/>
    <col min="10" max="10" width="11.0" customWidth="1"/>
    <col min="11" max="11" width="14.0" customWidth="1"/>
    <col min="12" max="12" width="13.0" customWidth="1"/>
    <col min="13" max="13" width="16.0" customWidth="1"/>
  </cols>
  <sheetData>
    <row r="1">
      <c r="A1" t="inlineStr" s="7">
        <is>
          <t xml:space="preserve">NEXT GRIP — Invoice D130 — 15/09/2026</t>
        </is>
      </c>
    </row>
    <row r="2">
      <c r="A2" t="inlineStr" s="0">
        <is>
          <t xml:space="preserve">Buyer: Shivtej Footwear   ·   Supplier GSTIN: Not found   ·   Buyer GSTIN: Not found</t>
        </is>
      </c>
    </row>
    <row r="3">
      <c r="A3" t="inlineStr" s="0">
        <is>
          <t xml:space="preserve">Columns up to "Amount" = supplier's bill as printed. Green बैठा % = (MRP − cost per pair incl. GST) ÷ MRP. Yellow अपना % can be changed here; the new amount and totals follow it. New amounts are our estimate, not the supplier's bill.</t>
        </is>
      </c>
    </row>
    <row r="4"/>
    <row r="5">
      <c r="A5" t="inlineStr" s="1">
        <is>
          <t xml:space="preserve">Sr.</t>
        </is>
      </c>
      <c r="B5" t="inlineStr" s="1">
        <is>
          <t xml:space="preserve">Item</t>
        </is>
      </c>
      <c r="C5" t="inlineStr" s="1">
        <is>
          <t xml:space="preserve">Colour</t>
        </is>
      </c>
      <c r="D5" t="inlineStr" s="1">
        <is>
          <t xml:space="preserve">HSN</t>
        </is>
      </c>
      <c r="E5" t="inlineStr" s="1">
        <is>
          <t xml:space="preserve">M.R.P.</t>
        </is>
      </c>
      <c r="F5" t="inlineStr" s="1">
        <is>
          <t xml:space="preserve">GST%</t>
        </is>
      </c>
      <c r="G5" t="inlineStr" s="1">
        <is>
          <t xml:space="preserve">Qty</t>
        </is>
      </c>
      <c r="H5" t="inlineStr" s="1">
        <is>
          <t xml:space="preserve">Rate</t>
        </is>
      </c>
      <c r="I5" t="inlineStr" s="10">
        <is>
          <t xml:space="preserve">CD%</t>
        </is>
      </c>
      <c r="J5" t="inlineStr" s="1">
        <is>
          <t xml:space="preserve">Amount</t>
        </is>
      </c>
      <c r="K5" t="inlineStr" s="11">
        <is>
          <t xml:space="preserve">बैठा % (उन्होंने MRP पर असल कितना दिया)</t>
        </is>
      </c>
      <c r="L5" t="inlineStr" s="10">
        <is>
          <t xml:space="preserve">अपना % (बदल सकते हैं)</t>
        </is>
      </c>
      <c r="M5" t="inlineStr" s="1">
        <is>
          <t xml:space="preserve">नई रकम (अपने % से, GST से पहले)</t>
        </is>
      </c>
    </row>
    <row r="6">
      <c r="A6" t="inlineStr" s="5">
        <is>
          <t xml:space="preserve">1</t>
        </is>
      </c>
      <c r="B6" t="inlineStr" s="5">
        <is>
          <t xml:space="preserve">VLD 24 5X8</t>
        </is>
      </c>
      <c r="C6" t="inlineStr" s="5">
        <is>
          <t xml:space="preserve">BLACK</t>
        </is>
      </c>
      <c r="D6" t="inlineStr" s="5">
        <is>
          <t xml:space="preserve">64022010</t>
        </is>
      </c>
      <c r="E6" s="2">
        <v>429.00</v>
      </c>
      <c r="F6" s="2">
        <v>5.0</v>
      </c>
      <c r="G6" s="18">
        <v>6</v>
      </c>
      <c r="H6" s="2">
        <v>265.71</v>
      </c>
      <c r="I6" t="inlineStr" s="6">
        <is>
          <t xml:space="preserve"/>
        </is>
      </c>
      <c r="J6" s="2">
        <v>1594.26</v>
      </c>
      <c r="K6" s="12">
        <v>34.97</v>
      </c>
      <c r="L6" t="inlineStr" s="14">
        <is>
          <t xml:space="preserve"/>
        </is>
      </c>
      <c r="M6" s="2">
        <f>IF(L6="",1594.26,ROUND(ROUND(429.00*(100-L6)/(100+5),2)*6,2))</f>
        <v>1594.26</v>
      </c>
    </row>
    <row r="7">
      <c r="A7" t="inlineStr" s="5">
        <is>
          <t xml:space="preserve">2</t>
        </is>
      </c>
      <c r="B7" t="inlineStr" s="5">
        <is>
          <t xml:space="preserve">2102-ORTHO 5X8</t>
        </is>
      </c>
      <c r="C7" t="inlineStr" s="5">
        <is>
          <t xml:space="preserve">NAVY</t>
        </is>
      </c>
      <c r="D7" t="inlineStr" s="5">
        <is>
          <t xml:space="preserve">64022010</t>
        </is>
      </c>
      <c r="E7" s="2">
        <v>549.00</v>
      </c>
      <c r="F7" s="2">
        <v>5.0</v>
      </c>
      <c r="G7" s="18">
        <v>6</v>
      </c>
      <c r="H7" s="2">
        <v>340.00</v>
      </c>
      <c r="I7" t="inlineStr" s="6">
        <is>
          <t xml:space="preserve"/>
        </is>
      </c>
      <c r="J7" s="2">
        <v>2040.00</v>
      </c>
      <c r="K7" s="12">
        <v>34.97</v>
      </c>
      <c r="L7" t="inlineStr" s="14">
        <is>
          <t xml:space="preserve"/>
        </is>
      </c>
      <c r="M7" s="2">
        <f>IF(L7="",2040.00,ROUND(ROUND(549.00*(100-L7)/(100+5),2)*6,2))</f>
        <v>2040.00</v>
      </c>
    </row>
    <row r="8">
      <c r="A8" t="inlineStr" s="5">
        <is>
          <t xml:space="preserve">3</t>
        </is>
      </c>
      <c r="B8" t="inlineStr" s="5">
        <is>
          <t xml:space="preserve">LF 80 5X8</t>
        </is>
      </c>
      <c r="C8" t="inlineStr" s="5">
        <is>
          <t xml:space="preserve">GREY</t>
        </is>
      </c>
      <c r="D8" t="inlineStr" s="5">
        <is>
          <t xml:space="preserve">64022010</t>
        </is>
      </c>
      <c r="E8" s="2">
        <v>399.00</v>
      </c>
      <c r="F8" s="2">
        <v>5.0</v>
      </c>
      <c r="G8" s="18">
        <v>6</v>
      </c>
      <c r="H8" s="2">
        <v>246.67</v>
      </c>
      <c r="I8" t="inlineStr" s="6">
        <is>
          <t xml:space="preserve"/>
        </is>
      </c>
      <c r="J8" s="2">
        <v>1480.02</v>
      </c>
      <c r="K8" s="12">
        <v>35.09</v>
      </c>
      <c r="L8" t="inlineStr" s="14">
        <is>
          <t xml:space="preserve"/>
        </is>
      </c>
      <c r="M8" s="2">
        <f>IF(L8="",1480.02,ROUND(ROUND(399.00*(100-L8)/(100+5),2)*6,2))</f>
        <v>1480.02</v>
      </c>
    </row>
    <row r="9">
      <c r="A9" t="inlineStr" s="5">
        <is>
          <t xml:space="preserve">4</t>
        </is>
      </c>
      <c r="B9" t="inlineStr" s="5">
        <is>
          <t xml:space="preserve">VLD 26 5X8</t>
        </is>
      </c>
      <c r="C9" t="inlineStr" s="5">
        <is>
          <t xml:space="preserve">BROWN</t>
        </is>
      </c>
      <c r="D9" t="inlineStr" s="5">
        <is>
          <t xml:space="preserve">64022010</t>
        </is>
      </c>
      <c r="E9" s="2">
        <v>429.00</v>
      </c>
      <c r="F9" s="2">
        <v>5.0</v>
      </c>
      <c r="G9" s="18">
        <v>4</v>
      </c>
      <c r="H9" s="2">
        <v>265.71</v>
      </c>
      <c r="I9" t="inlineStr" s="6">
        <is>
          <t xml:space="preserve"/>
        </is>
      </c>
      <c r="J9" s="2">
        <v>1062.84</v>
      </c>
      <c r="K9" s="12">
        <v>34.97</v>
      </c>
      <c r="L9" t="inlineStr" s="14">
        <is>
          <t xml:space="preserve"/>
        </is>
      </c>
      <c r="M9" s="2">
        <f>IF(L9="",1062.84,ROUND(ROUND(429.00*(100-L9)/(100+5),2)*4,2))</f>
        <v>1062.84</v>
      </c>
    </row>
    <row r="10">
      <c r="A10" t="inlineStr" s="5">
        <is>
          <t xml:space="preserve">5.</t>
        </is>
      </c>
      <c r="B10" t="inlineStr" s="5">
        <is>
          <t xml:space="preserve">2108-ORTHO 6X9</t>
        </is>
      </c>
      <c r="C10" t="inlineStr" s="5">
        <is>
          <t xml:space="preserve">CHRY</t>
        </is>
      </c>
      <c r="D10" t="inlineStr" s="5">
        <is>
          <t xml:space="preserve">64022010</t>
        </is>
      </c>
      <c r="E10" s="2">
        <v>549.00</v>
      </c>
      <c r="F10" s="2">
        <v>5.0</v>
      </c>
      <c r="G10" s="18">
        <v>2</v>
      </c>
      <c r="H10" s="2">
        <v>340.00</v>
      </c>
      <c r="I10" t="inlineStr" s="6">
        <is>
          <t xml:space="preserve"/>
        </is>
      </c>
      <c r="J10" s="2">
        <v>680.00</v>
      </c>
      <c r="K10" s="12">
        <v>34.97</v>
      </c>
      <c r="L10" t="inlineStr" s="14">
        <is>
          <t xml:space="preserve"/>
        </is>
      </c>
      <c r="M10" s="2">
        <f>IF(L10="",680.00,ROUND(ROUND(549.00*(100-L10)/(100+5),2)*2,2))</f>
        <v>680.00</v>
      </c>
    </row>
    <row r="11">
      <c r="B11" t="inlineStr" s="16">
        <is>
          <t xml:space="preserve">Total</t>
        </is>
      </c>
      <c r="G11" t="inlineStr" s="16">
        <is>
          <t xml:space="preserve">24 pairs</t>
        </is>
      </c>
      <c r="J11" s="15">
        <v>6857.12</v>
      </c>
      <c r="K11" s="12">
        <v>34.99</v>
      </c>
      <c r="M11" s="15">
        <f>SUM(M6:M10)</f>
        <v>6857.12</v>
      </c>
    </row>
    <row r="12">
      <c r="B12" t="inlineStr" s="16">
        <is>
          <t xml:space="preserve">GST (CGST 171.43 + SGST 171.43)</t>
        </is>
      </c>
      <c r="J12" s="15">
        <v>342.86</v>
      </c>
      <c r="M12" s="15">
        <f>ROUND((M6+M7+M8+M9+M10)*5/100,2)</f>
        <v>342.86</v>
      </c>
    </row>
    <row r="13">
      <c r="B13" t="inlineStr" s="16">
        <is>
          <t xml:space="preserve">Grand Total (printed on bill)</t>
        </is>
      </c>
      <c r="J13" s="15">
        <v>7200.00</v>
      </c>
      <c r="L13" t="inlineStr" s="16">
        <is>
          <t xml:space="preserve">नया Total →</t>
        </is>
      </c>
      <c r="M13" s="15">
        <f>ROUND(M11+M12,0)</f>
        <v>7200.00</v>
      </c>
    </row>
    <row r="14">
      <c r="B14" t="inlineStr" s="16">
        <is>
          <t xml:space="preserve">Printed total − calculated = ₹0.02 — check the bill</t>
        </is>
      </c>
      <c r="J14" s="8">
        <v>0.02</v>
      </c>
    </row>
    <row r="15"/>
    <row r="16">
      <c r="B16" t="inlineStr" s="16">
        <is>
          <t xml:space="preserve">कंपनी-वार</t>
        </is>
      </c>
      <c r="K16" t="inlineStr" s="11">
        <is>
          <t xml:space="preserve">बैठा % (उन्होंने MRP पर असल कितना दिया)</t>
        </is>
      </c>
      <c r="L16" t="inlineStr" s="10">
        <is>
          <t xml:space="preserve">अपना % (बदल सकते हैं)</t>
        </is>
      </c>
      <c r="M16" t="inlineStr" s="1">
        <is>
          <t xml:space="preserve">नई रकम</t>
        </is>
      </c>
    </row>
    <row r="17">
      <c r="B17" t="inlineStr" s="16">
        <is>
          <t xml:space="preserve">ORTHO (2 lines · 8 pairs)</t>
        </is>
      </c>
      <c r="J17" s="15">
        <v>2720.00</v>
      </c>
      <c r="K17" s="12">
        <v>34.97</v>
      </c>
      <c r="L17" t="inlineStr" s="5">
        <is>
          <t xml:space="preserve"/>
        </is>
      </c>
      <c r="M17" t="inlineStr" s="5">
        <is>
          <t xml:space="preserve"/>
        </is>
      </c>
    </row>
    <row r="18">
      <c r="B18" t="inlineStr" s="16">
        <is>
          <t xml:space="preserve">VLD (2 lines · 10 pairs)</t>
        </is>
      </c>
      <c r="J18" s="15">
        <v>2657.10</v>
      </c>
      <c r="K18" s="12">
        <v>34.97</v>
      </c>
      <c r="L18" t="inlineStr" s="5">
        <is>
          <t xml:space="preserve"/>
        </is>
      </c>
      <c r="M18" t="inlineStr" s="5">
        <is>
          <t xml:space="preserve"/>
        </is>
      </c>
    </row>
    <row r="19">
      <c r="B19" t="inlineStr" s="16">
        <is>
          <t xml:space="preserve">LF (1 lines · 6 pairs)</t>
        </is>
      </c>
      <c r="J19" s="15">
        <v>1480.02</v>
      </c>
      <c r="K19" s="12">
        <v>35.09</v>
      </c>
      <c r="L19" t="inlineStr" s="5">
        <is>
          <t xml:space="preserve"/>
        </is>
      </c>
      <c r="M19" t="inlineStr" s="5">
        <is>
          <t xml:space="preserve"/>
        </is>
      </c>
    </row>
  </sheetData>
  <autoFilter ref="A5:M19"/>
  <pageMargins left="0.4" right="0.4" top="0.5" bottom="0.5" header="0.3" footer="0.3"/>
  <pageSetup orientation="landscape" paperSize="9" fitToWidth="1" fitToHeight="0"/>
</worksheet>
</file>