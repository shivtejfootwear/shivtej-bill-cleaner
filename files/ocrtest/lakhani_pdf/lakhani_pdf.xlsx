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ll + Baitha %" sheetId="1" r:id="rId1"/>
  </sheets>
  <definedNames>
    <definedName name="_xlnm._FilterDatabase" localSheetId="0" hidden="1">'Bill + Baitha %'!$A$5:$L$18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&quot;%&quot;"/>
    <numFmt numFmtId="166" formatCode="0"/>
    <numFmt numFmtId="167" formatCode="#,##0.##"/>
  </numFmts>
  <fonts count="7">
    <font>
      <sz val="11"/>
      <name val="Calibri"/>
    </font>
    <font>
      <b/>
      <sz val="11"/>
      <color rgb="FFFFFFFF"/>
      <name val="Calibri"/>
    </font>
    <font>
      <b/>
      <sz val="11"/>
      <color rgb="FFB45309"/>
      <name val="Calibri"/>
    </font>
    <font>
      <b/>
      <sz val="14"/>
      <color rgb="FF0E2A47"/>
      <name val="Calibri"/>
    </font>
    <font>
      <b/>
      <sz val="11"/>
      <color rgb="FF0E2A47"/>
      <name val="Calibri"/>
    </font>
    <font>
      <b/>
      <sz val="11"/>
      <color rgb="FF16653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FF1E2"/>
        <bgColor indexed="64"/>
      </patternFill>
    </fill>
    <fill>
      <patternFill patternType="solid">
        <fgColor rgb="FFF28A1E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E7F6EC"/>
        <bgColor indexed="64"/>
      </patternFill>
    </fill>
    <fill>
      <patternFill patternType="solid">
        <fgColor rgb="FFFFF3C4"/>
        <bgColor indexed="64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 vertical="center"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wrapText="1" vertical="top"/>
    </xf>
    <xf numFmtId="165" fontId="2" fillId="3" borderId="1" xfId="0" applyNumberFormat="1" applyFont="1" applyFill="1" applyBorder="1"/>
    <xf numFmtId="0" fontId="3" fillId="0" borderId="0" xfId="0" applyFont="1"/>
    <xf numFmtId="0" fontId="2" fillId="3" borderId="1" xfId="0" applyFont="1" applyFill="1" applyBorder="1" applyAlignment="1">
      <alignment wrapText="1"/>
    </xf>
    <xf numFmtId="0" fontId="4" fillId="0" borderId="1" xfId="0" applyFont="1" applyBorder="1"/>
    <xf numFmtId="0" fontId="1" fillId="4" borderId="1" xfId="0" applyFont="1" applyFill="1" applyBorder="1" applyAlignment="1">
      <alignment wrapText="1" vertical="center" horizontal="center"/>
    </xf>
    <xf numFmtId="0" fontId="1" fillId="5" borderId="1" xfId="0" applyFont="1" applyFill="1" applyBorder="1" applyAlignment="1">
      <alignment wrapText="1" vertical="center" horizontal="center"/>
    </xf>
    <xf numFmtId="165" fontId="5" fillId="6" borderId="1" xfId="0" applyNumberFormat="1" applyFont="1" applyFill="1" applyBorder="1"/>
    <xf numFmtId="164" fontId="5" fillId="6" borderId="1" xfId="0" applyNumberFormat="1" applyFont="1" applyFill="1" applyBorder="1"/>
    <xf numFmtId="165" fontId="6" fillId="7" borderId="1" xfId="0" applyNumberFormat="1" applyFont="1" applyFill="1" applyBorder="1"/>
    <xf numFmtId="164" fontId="6" fillId="0" borderId="1" xfId="0" applyNumberFormat="1" applyFont="1" applyBorder="1"/>
    <xf numFmtId="0" fontId="6" fillId="0" borderId="1" xfId="0" applyFont="1" applyBorder="1"/>
    <xf numFmtId="166" fontId="5" fillId="6" borderId="1" xfId="0" applyNumberFormat="1" applyFont="1" applyFill="1" applyBorder="1"/>
    <xf numFmtId="167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  <selection pane="bottomLeft"/>
    </sheetView>
  </sheetViews>
  <cols>
    <col min="1" max="1" width="6.0" customWidth="1"/>
    <col min="2" max="2" width="30.0" customWidth="1"/>
    <col min="3" max="3" width="11.0" customWidth="1"/>
    <col min="4" max="4" width="11.0" customWidth="1"/>
    <col min="5" max="5" width="11.0" customWidth="1"/>
    <col min="6" max="6" width="11.0" customWidth="1"/>
    <col min="7" max="7" width="11.0" customWidth="1"/>
    <col min="8" max="8" width="11.0" customWidth="1"/>
    <col min="9" max="9" width="11.0" customWidth="1"/>
    <col min="10" max="10" width="14.0" customWidth="1"/>
    <col min="11" max="11" width="13.0" customWidth="1"/>
    <col min="12" max="12" width="16.0" customWidth="1"/>
  </cols>
  <sheetData>
    <row r="1">
      <c r="A1" t="inlineStr" s="7">
        <is>
          <t xml:space="preserve">LAKHANI FOOTWEAR PVT.LTD. — Invoice 1972/26-27/R266 — 06/10/2026</t>
        </is>
      </c>
    </row>
    <row r="2">
      <c r="A2" t="inlineStr" s="0">
        <is>
          <t xml:space="preserve">Buyer: SHIVTEJ FOOTWEAR [21956]   ·   Supplier GSTIN: 06AAACL3112H1Z2   ·   Buyer GSTIN: 27ECIPS0222J1ZI</t>
        </is>
      </c>
    </row>
    <row r="3">
      <c r="A3" t="inlineStr" s="0">
        <is>
          <t xml:space="preserve">Columns up to "VALUE (IN RS.)" = supplier's bill as printed. Green बैठा % = (MRP − cost per pair incl. GST) ÷ MRP. Yellow अपना % can be changed here; the new amount and totals follow it. New amounts are our estimate, not the supplier's bill.</t>
        </is>
      </c>
    </row>
    <row r="4"/>
    <row r="5">
      <c r="A5" t="inlineStr" s="1">
        <is>
          <t xml:space="preserve">S.No.</t>
        </is>
      </c>
      <c r="B5" t="inlineStr" s="1">
        <is>
          <t xml:space="preserve">Description of Goods</t>
        </is>
      </c>
      <c r="C5" t="inlineStr" s="1">
        <is>
          <t xml:space="preserve">HSN/SAC</t>
        </is>
      </c>
      <c r="D5" t="inlineStr" s="1">
        <is>
          <t xml:space="preserve">Old MRP Per Unit</t>
        </is>
      </c>
      <c r="E5" t="inlineStr" s="1">
        <is>
          <t xml:space="preserve">New MRP Per Unit</t>
        </is>
      </c>
      <c r="F5" t="inlineStr" s="1">
        <is>
          <t xml:space="preserve">Qty In C/N</t>
        </is>
      </c>
      <c r="G5" t="inlineStr" s="1">
        <is>
          <t xml:space="preserve">Units In Pairs</t>
        </is>
      </c>
      <c r="H5" t="inlineStr" s="1">
        <is>
          <t xml:space="preserve">Rate/ Unit</t>
        </is>
      </c>
      <c r="I5" t="inlineStr" s="1">
        <is>
          <t xml:space="preserve">VALUE (IN RS.)</t>
        </is>
      </c>
      <c r="J5" t="inlineStr" s="11">
        <is>
          <t xml:space="preserve">बैठा % (उन्होंने MRP पर असल कितना दिया)</t>
        </is>
      </c>
      <c r="K5" t="inlineStr" s="10">
        <is>
          <t xml:space="preserve">अपना % (बदल सकते हैं)</t>
        </is>
      </c>
      <c r="L5" t="inlineStr" s="1">
        <is>
          <t xml:space="preserve">नई रकम (अपने % से, GST से पहले)</t>
        </is>
      </c>
    </row>
    <row r="6">
      <c r="A6" t="inlineStr" s="5">
        <is>
          <t xml:space="preserve">1</t>
        </is>
      </c>
      <c r="B6" t="inlineStr" s="5">
        <is>
          <t xml:space="preserve">TOUCH 16-714 7*10 GRAPHITE</t>
        </is>
      </c>
      <c r="C6" t="inlineStr" s="5">
        <is>
          <t xml:space="preserve">640319</t>
        </is>
      </c>
      <c r="D6" s="2">
        <v>1785.00</v>
      </c>
      <c r="E6" s="2">
        <v>1899.00</v>
      </c>
      <c r="F6" s="18">
        <v>1</v>
      </c>
      <c r="G6" s="18">
        <v>12</v>
      </c>
      <c r="H6" s="2">
        <v>1021.00</v>
      </c>
      <c r="I6" s="2">
        <v>12252.00</v>
      </c>
      <c r="J6" s="12">
        <v>47.63</v>
      </c>
      <c r="K6" t="inlineStr" s="14">
        <is>
          <t xml:space="preserve"/>
        </is>
      </c>
      <c r="L6" s="2">
        <f>IF(K6="",11366.68,ROUND(ROUND(1899.00*(100-K6)/(100+5),2)*12,2))</f>
        <v>11366.68</v>
      </c>
    </row>
    <row r="7">
      <c r="A7" t="inlineStr" s="5">
        <is>
          <t xml:space="preserve">2</t>
        </is>
      </c>
      <c r="B7" t="inlineStr" s="5">
        <is>
          <t xml:space="preserve">TOUCH 16-714 7*10 CAMAL</t>
        </is>
      </c>
      <c r="C7" t="inlineStr" s="5">
        <is>
          <t xml:space="preserve">640319</t>
        </is>
      </c>
      <c r="D7" s="2">
        <v>1785.00</v>
      </c>
      <c r="E7" s="2">
        <v>1899.00</v>
      </c>
      <c r="F7" s="18">
        <v>1</v>
      </c>
      <c r="G7" s="18">
        <v>12</v>
      </c>
      <c r="H7" s="2">
        <v>1021.00</v>
      </c>
      <c r="I7" s="2">
        <v>12252.00</v>
      </c>
      <c r="J7" s="12">
        <v>47.63</v>
      </c>
      <c r="K7" t="inlineStr" s="14">
        <is>
          <t xml:space="preserve"/>
        </is>
      </c>
      <c r="L7" s="2">
        <f>IF(K7="",11366.68,ROUND(ROUND(1899.00*(100-K7)/(100+5),2)*12,2))</f>
        <v>11366.68</v>
      </c>
    </row>
    <row r="8">
      <c r="A8" t="inlineStr" s="5">
        <is>
          <t xml:space="preserve">3</t>
        </is>
      </c>
      <c r="B8" t="inlineStr" s="5">
        <is>
          <t xml:space="preserve">TOUCH 16-714 8*10 OLIVE</t>
        </is>
      </c>
      <c r="C8" t="inlineStr" s="5">
        <is>
          <t xml:space="preserve">640319</t>
        </is>
      </c>
      <c r="D8" s="2">
        <v>1785.00</v>
      </c>
      <c r="E8" s="2">
        <v>1899.00</v>
      </c>
      <c r="F8" s="18">
        <v>1</v>
      </c>
      <c r="G8" s="18">
        <v>12</v>
      </c>
      <c r="H8" s="2">
        <v>1021.00</v>
      </c>
      <c r="I8" s="2">
        <v>12252.00</v>
      </c>
      <c r="J8" s="12">
        <v>47.63</v>
      </c>
      <c r="K8" t="inlineStr" s="14">
        <is>
          <t xml:space="preserve"/>
        </is>
      </c>
      <c r="L8" s="2">
        <f>IF(K8="",11366.68,ROUND(ROUND(1899.00*(100-K8)/(100+5),2)*12,2))</f>
        <v>11366.68</v>
      </c>
    </row>
    <row r="9">
      <c r="A9" t="inlineStr" s="5">
        <is>
          <t xml:space="preserve">4</t>
        </is>
      </c>
      <c r="B9" t="inlineStr" s="5">
        <is>
          <t xml:space="preserve">TOUCH 16-717 7*10 CAMAL</t>
        </is>
      </c>
      <c r="C9" t="inlineStr" s="5">
        <is>
          <t xml:space="preserve">640319</t>
        </is>
      </c>
      <c r="D9" s="2">
        <v>1785.00</v>
      </c>
      <c r="E9" s="2">
        <v>1899.00</v>
      </c>
      <c r="F9" s="18">
        <v>1</v>
      </c>
      <c r="G9" s="18">
        <v>12</v>
      </c>
      <c r="H9" s="2">
        <v>1021.00</v>
      </c>
      <c r="I9" s="2">
        <v>12252.00</v>
      </c>
      <c r="J9" s="12">
        <v>47.63</v>
      </c>
      <c r="K9" t="inlineStr" s="14">
        <is>
          <t xml:space="preserve"/>
        </is>
      </c>
      <c r="L9" s="2">
        <f>IF(K9="",11366.68,ROUND(ROUND(1899.00*(100-K9)/(100+5),2)*12,2))</f>
        <v>11366.68</v>
      </c>
    </row>
    <row r="10">
      <c r="A10" t="inlineStr" s="5">
        <is>
          <t xml:space="preserve">5</t>
        </is>
      </c>
      <c r="B10" t="inlineStr" s="5">
        <is>
          <t xml:space="preserve">TOUCH 16-717 7*10 OLIVE</t>
        </is>
      </c>
      <c r="C10" t="inlineStr" s="5">
        <is>
          <t xml:space="preserve">640319</t>
        </is>
      </c>
      <c r="D10" s="2">
        <v>1785.00</v>
      </c>
      <c r="E10" s="2">
        <v>1899.00</v>
      </c>
      <c r="F10" s="18">
        <v>1</v>
      </c>
      <c r="G10" s="18">
        <v>12</v>
      </c>
      <c r="H10" s="2">
        <v>1021.00</v>
      </c>
      <c r="I10" s="2">
        <v>12252.00</v>
      </c>
      <c r="J10" s="12">
        <v>47.63</v>
      </c>
      <c r="K10" t="inlineStr" s="14">
        <is>
          <t xml:space="preserve"/>
        </is>
      </c>
      <c r="L10" s="2">
        <f>IF(K10="",11366.68,ROUND(ROUND(1899.00*(100-K10)/(100+5),2)*12,2))</f>
        <v>11366.68</v>
      </c>
    </row>
    <row r="11">
      <c r="A11" t="inlineStr" s="5">
        <is>
          <t xml:space="preserve">6</t>
        </is>
      </c>
      <c r="B11" t="inlineStr" s="5">
        <is>
          <t xml:space="preserve">TOUCH 81 8*10 WHT/COBALT</t>
        </is>
      </c>
      <c r="C11" t="inlineStr" s="5">
        <is>
          <t xml:space="preserve">640291</t>
        </is>
      </c>
      <c r="D11" s="2">
        <v>1595.00</v>
      </c>
      <c r="E11" s="2">
        <v>1749.00</v>
      </c>
      <c r="F11" s="18">
        <v>1</v>
      </c>
      <c r="G11" s="18">
        <v>12</v>
      </c>
      <c r="H11" s="2">
        <v>940.00</v>
      </c>
      <c r="I11" s="2">
        <v>11280.00</v>
      </c>
      <c r="J11" s="12">
        <v>47.65</v>
      </c>
      <c r="K11" t="inlineStr" s="14">
        <is>
          <t xml:space="preserve"/>
        </is>
      </c>
      <c r="L11" s="2">
        <f>IF(K11="",10464.92,ROUND(ROUND(1749.00*(100-K11)/(100+5),2)*12,2))</f>
        <v>10464.92</v>
      </c>
    </row>
    <row r="12">
      <c r="A12" t="inlineStr" s="5">
        <is>
          <t xml:space="preserve">7</t>
        </is>
      </c>
      <c r="B12" t="inlineStr" s="5">
        <is>
          <t xml:space="preserve">TOUCH 81 7*10 WHT/COBALT</t>
        </is>
      </c>
      <c r="C12" t="inlineStr" s="5">
        <is>
          <t xml:space="preserve">640291</t>
        </is>
      </c>
      <c r="D12" s="2">
        <v>1595.00</v>
      </c>
      <c r="E12" s="2">
        <v>1749.00</v>
      </c>
      <c r="F12" s="18">
        <v>1</v>
      </c>
      <c r="G12" s="18">
        <v>12</v>
      </c>
      <c r="H12" s="2">
        <v>940.00</v>
      </c>
      <c r="I12" s="2">
        <v>11280.00</v>
      </c>
      <c r="J12" s="12">
        <v>47.65</v>
      </c>
      <c r="K12" t="inlineStr" s="14">
        <is>
          <t xml:space="preserve"/>
        </is>
      </c>
      <c r="L12" s="2">
        <f>IF(K12="",10464.92,ROUND(ROUND(1749.00*(100-K12)/(100+5),2)*12,2))</f>
        <v>10464.92</v>
      </c>
    </row>
    <row r="13">
      <c r="A13" t="inlineStr" s="5">
        <is>
          <t xml:space="preserve">8</t>
        </is>
      </c>
      <c r="B13" t="inlineStr" s="5">
        <is>
          <t xml:space="preserve">TOUCH 98 7*10 CAMAL</t>
        </is>
      </c>
      <c r="C13" t="inlineStr" s="5">
        <is>
          <t xml:space="preserve">640319</t>
        </is>
      </c>
      <c r="D13" s="2">
        <v>1850.00</v>
      </c>
      <c r="E13" s="2">
        <v>1949.00</v>
      </c>
      <c r="F13" s="18">
        <v>1</v>
      </c>
      <c r="G13" s="18">
        <v>12</v>
      </c>
      <c r="H13" s="2">
        <v>1048.00</v>
      </c>
      <c r="I13" s="2">
        <v>12576.00</v>
      </c>
      <c r="J13" s="12">
        <v>47.62</v>
      </c>
      <c r="K13" t="inlineStr" s="14">
        <is>
          <t xml:space="preserve"/>
        </is>
      </c>
      <c r="L13" s="2">
        <f>IF(K13="",11667.27,ROUND(ROUND(1949.00*(100-K13)/(100+5),2)*12,2))</f>
        <v>11667.27</v>
      </c>
    </row>
    <row r="14">
      <c r="A14" t="inlineStr" s="5">
        <is>
          <t xml:space="preserve">9</t>
        </is>
      </c>
      <c r="B14" t="inlineStr" s="5">
        <is>
          <t xml:space="preserve">TOUCH 98 7*10 GRAPHITE</t>
        </is>
      </c>
      <c r="C14" t="inlineStr" s="5">
        <is>
          <t xml:space="preserve">640319</t>
        </is>
      </c>
      <c r="D14" s="2">
        <v>1850.00</v>
      </c>
      <c r="E14" s="2">
        <v>1949.00</v>
      </c>
      <c r="F14" s="18">
        <v>1</v>
      </c>
      <c r="G14" s="18">
        <v>12</v>
      </c>
      <c r="H14" s="2">
        <v>1048.00</v>
      </c>
      <c r="I14" s="2">
        <v>12576.00</v>
      </c>
      <c r="J14" s="12">
        <v>47.62</v>
      </c>
      <c r="K14" t="inlineStr" s="14">
        <is>
          <t xml:space="preserve"/>
        </is>
      </c>
      <c r="L14" s="2">
        <f>IF(K14="",11667.27,ROUND(ROUND(1949.00*(100-K14)/(100+5),2)*12,2))</f>
        <v>11667.27</v>
      </c>
    </row>
    <row r="15">
      <c r="B15" t="inlineStr" s="16">
        <is>
          <t xml:space="preserve">Total</t>
        </is>
      </c>
      <c r="G15" t="inlineStr" s="16">
        <is>
          <t xml:space="preserve">108 pairs</t>
        </is>
      </c>
      <c r="I15" s="15">
        <v>108972.00</v>
      </c>
      <c r="J15" s="12">
        <v>47.63</v>
      </c>
      <c r="L15" s="15">
        <f>SUM(L6:L14)</f>
        <v>101097.78</v>
      </c>
    </row>
    <row r="16">
      <c r="B16" t="inlineStr" s="16">
        <is>
          <t xml:space="preserve">GST (CGST 0.00 + SGST 0.00 + IGST 5054.87)</t>
        </is>
      </c>
      <c r="I16" s="15">
        <v>5054.87</v>
      </c>
      <c r="L16" s="15">
        <f>ROUND((L6+L7+L8+L9+L10+L11+L12+L13+L14)*5/100,2)</f>
        <v>5054.89</v>
      </c>
    </row>
    <row r="17">
      <c r="B17" t="inlineStr" s="16">
        <is>
          <t xml:space="preserve">Round off</t>
        </is>
      </c>
      <c r="I17" s="15">
        <v>0.35</v>
      </c>
    </row>
    <row r="18">
      <c r="B18" t="inlineStr" s="16">
        <is>
          <t xml:space="preserve">Grand Total (printed on bill)</t>
        </is>
      </c>
      <c r="I18" s="15">
        <v>106153.00</v>
      </c>
      <c r="K18" t="inlineStr" s="16">
        <is>
          <t xml:space="preserve">नया Total →</t>
        </is>
      </c>
      <c r="L18" s="15">
        <f>ROUND(L15+L16,0)</f>
        <v>106153.00</v>
      </c>
    </row>
  </sheetData>
  <autoFilter ref="A5:L18"/>
  <pageMargins left="0.4" right="0.4" top="0.5" bottom="0.5" header="0.3" footer="0.3"/>
  <pageSetup orientation="landscape" paperSize="9" fitToWidth="1" fitToHeight="0"/>
</worksheet>
</file>