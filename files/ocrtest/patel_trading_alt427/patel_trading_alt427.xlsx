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%'!$A$5:$N$11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1.0" customWidth="1"/>
    <col min="12" max="12" width="14.0" customWidth="1"/>
    <col min="13" max="13" width="13.0" customWidth="1"/>
    <col min="14" max="14" width="16.0" customWidth="1"/>
  </cols>
  <sheetData>
    <row r="1">
      <c r="A1" t="inlineStr" s="7">
        <is>
          <t xml:space="preserve">PATEL TRADING CORPORATION — Invoice 26-27/ALT-427 — 1-Sep-2026</t>
        </is>
      </c>
    </row>
    <row r="2">
      <c r="A2" t="inlineStr" s="0">
        <is>
          <t xml:space="preserve">Buyer: Shivtej Footwear Akluj   ·   Supplier GSTIN: 27ABWPP2432J1Z5   ·   Buyer GSTIN: 27ECIPS0222J1Z1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Sr. Descipion of No.</t>
        </is>
      </c>
      <c r="B5" t="inlineStr" s="1">
        <is>
          <t xml:space="preserve">Goods/ Services</t>
        </is>
      </c>
      <c r="C5" t="inlineStr" s="1">
        <is>
          <t xml:space="preserve">HSNI SAC</t>
        </is>
      </c>
      <c r="D5" t="inlineStr" s="1">
        <is>
          <t xml:space="preserve">Quantity</t>
        </is>
      </c>
      <c r="E5" t="inlineStr" s="1">
        <is>
          <t xml:space="preserve">MRP</t>
        </is>
      </c>
      <c r="F5" t="inlineStr" s="1">
        <is>
          <t xml:space="preserve">Rate</t>
        </is>
      </c>
      <c r="G5" t="inlineStr" s="1">
        <is>
          <t xml:space="preserve">Net Rate</t>
        </is>
      </c>
      <c r="H5" t="inlineStr" s="10">
        <is>
          <t xml:space="preserve">Disc Disc. Disc. (per) (%)</t>
        </is>
      </c>
      <c r="I5" t="inlineStr" s="1">
        <is>
          <t xml:space="preserve">Disc Disc. Disc. Amt.</t>
        </is>
      </c>
      <c r="J5" t="inlineStr" s="1">
        <is>
          <t xml:space="preserve">GST</t>
        </is>
      </c>
      <c r="K5" t="inlineStr" s="1">
        <is>
          <t xml:space="preserve">Amount</t>
        </is>
      </c>
      <c r="L5" t="inlineStr" s="11">
        <is>
          <t xml:space="preserve">बैठा % (उन्होंने MRP पर असल कितना दिया)</t>
        </is>
      </c>
      <c r="M5" t="inlineStr" s="10">
        <is>
          <t xml:space="preserve">अपना % (बदल सकते हैं)</t>
        </is>
      </c>
      <c r="N5" t="inlineStr" s="1">
        <is>
          <t xml:space="preserve">नई रकम (अपने % से, GST सहित — बिल जैसी)</t>
        </is>
      </c>
    </row>
    <row r="6">
      <c r="A6" t="inlineStr" s="5">
        <is>
          <t xml:space="preserve"/>
        </is>
      </c>
      <c r="B6" t="inlineStr" s="5">
        <is>
          <t xml:space="preserve">Indus lg 255 Bk Mhd 7/10</t>
        </is>
      </c>
      <c r="C6" t="inlineStr" s="5">
        <is>
          <t xml:space="preserve">64041920</t>
        </is>
      </c>
      <c r="D6" t="inlineStr" s="5">
        <is>
          <t xml:space="preserve">6 Pairs</t>
        </is>
      </c>
      <c r="E6" s="2">
        <v>579.00</v>
      </c>
      <c r="F6" s="2">
        <v>365.00</v>
      </c>
      <c r="G6" s="2">
        <v>347.62</v>
      </c>
      <c r="H6" t="inlineStr" s="6">
        <is>
          <t xml:space="preserve"/>
        </is>
      </c>
      <c r="I6" t="inlineStr" s="5">
        <is>
          <t xml:space="preserve"/>
        </is>
      </c>
      <c r="J6" t="inlineStr" s="5">
        <is>
          <t xml:space="preserve">5%</t>
        </is>
      </c>
      <c r="K6" s="2">
        <v>2190.00</v>
      </c>
      <c r="L6" s="12">
        <v>36.96</v>
      </c>
      <c r="M6" t="inlineStr" s="14">
        <is>
          <t xml:space="preserve"/>
        </is>
      </c>
      <c r="N6" s="2">
        <f>IF(M6="",2190.00,ROUND(ROUND(579.00*(100-M6)/100,2)*6,2))</f>
        <v>2190.00</v>
      </c>
    </row>
    <row r="7">
      <c r="A7" t="inlineStr" s="5">
        <is>
          <t xml:space="preserve">2</t>
        </is>
      </c>
      <c r="B7" t="inlineStr" s="5">
        <is>
          <t xml:space="preserve">Indus Yahoo 166 D Gry 11/1</t>
        </is>
      </c>
      <c r="C7" t="inlineStr" s="5">
        <is>
          <t xml:space="preserve">64041920</t>
        </is>
      </c>
      <c r="D7" t="inlineStr" s="5">
        <is>
          <t xml:space="preserve">6 Pairs</t>
        </is>
      </c>
      <c r="E7" s="2">
        <v>264.00</v>
      </c>
      <c r="F7" s="2">
        <v>166.00</v>
      </c>
      <c r="G7" s="2">
        <v>158.10</v>
      </c>
      <c r="H7" t="inlineStr" s="6">
        <is>
          <t xml:space="preserve"/>
        </is>
      </c>
      <c r="I7" t="inlineStr" s="5">
        <is>
          <t xml:space="preserve"/>
        </is>
      </c>
      <c r="J7" t="inlineStr" s="5">
        <is>
          <t xml:space="preserve">5%</t>
        </is>
      </c>
      <c r="K7" s="2">
        <v>996.00</v>
      </c>
      <c r="L7" s="12">
        <v>37.12</v>
      </c>
      <c r="M7" t="inlineStr" s="14">
        <is>
          <t xml:space="preserve"/>
        </is>
      </c>
      <c r="N7" s="2">
        <f>IF(M7="",996.00,ROUND(ROUND(264.00*(100-M7)/100,2)*6,2))</f>
        <v>996.00</v>
      </c>
    </row>
    <row r="8">
      <c r="B8" t="inlineStr" s="16">
        <is>
          <t xml:space="preserve">Total</t>
        </is>
      </c>
      <c r="D8" t="inlineStr" s="16">
        <is>
          <t xml:space="preserve">12 pairs</t>
        </is>
      </c>
      <c r="K8" s="15">
        <v>3186.00</v>
      </c>
      <c r="L8" s="12">
        <v>37.01</v>
      </c>
      <c r="N8" s="15">
        <f>SUM(N6:N7)</f>
        <v>3186.00</v>
      </c>
    </row>
    <row r="9">
      <c r="B9" t="inlineStr" s="16">
        <is>
          <t xml:space="preserve">GST included (CGST 75.85 + SGST 75.85)</t>
        </is>
      </c>
      <c r="K9" s="15">
        <v>151.70</v>
      </c>
      <c r="N9" s="15">
        <f>ROUND((N6+N7)*5/(100+5),2)</f>
        <v>151.72</v>
      </c>
    </row>
    <row r="10">
      <c r="B10" t="inlineStr" s="16">
        <is>
          <t xml:space="preserve">Grand Total (printed on bill)</t>
        </is>
      </c>
      <c r="K10" s="15">
        <v>3186.00</v>
      </c>
      <c r="M10" t="inlineStr" s="16">
        <is>
          <t xml:space="preserve">नया Total →</t>
        </is>
      </c>
      <c r="N10" s="15">
        <f>ROUND(N8,0)</f>
        <v>3186.00</v>
      </c>
    </row>
    <row r="11">
      <c r="B11" t="inlineStr" s="16">
        <is>
          <t xml:space="preserve">Printed total − calculated = ₹0.02 — check the bill</t>
        </is>
      </c>
      <c r="K11" s="8">
        <v>0.02</v>
      </c>
    </row>
  </sheetData>
  <autoFilter ref="A5:N11"/>
  <pageMargins left="0.4" right="0.4" top="0.5" bottom="0.5" header="0.3" footer="0.3"/>
  <pageSetup orientation="landscape" paperSize="9" fitToWidth="1" fitToHeight="0"/>
</worksheet>
</file>