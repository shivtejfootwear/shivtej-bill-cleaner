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%'!$A$5:$M$20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4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NEXT GRIP — Invoice DI32 — 26/09/2026</t>
        </is>
      </c>
    </row>
    <row r="2">
      <c r="A2" t="inlineStr" s="0">
        <is>
          <t xml:space="preserve">Buyer: Shivtej Footwear   ·   Supplier GSTIN: Not found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</t>
        </is>
      </c>
      <c r="B5" t="inlineStr" s="1">
        <is>
          <t xml:space="preserve">Item</t>
        </is>
      </c>
      <c r="C5" t="inlineStr" s="1">
        <is>
          <t xml:space="preserve">Colour</t>
        </is>
      </c>
      <c r="D5" t="inlineStr" s="1">
        <is>
          <t xml:space="preserve">HSN</t>
        </is>
      </c>
      <c r="E5" t="inlineStr" s="1">
        <is>
          <t xml:space="preserve">M.R.P.</t>
        </is>
      </c>
      <c r="F5" t="inlineStr" s="1">
        <is>
          <t xml:space="preserve">GST%</t>
        </is>
      </c>
      <c r="G5" t="inlineStr" s="1">
        <is>
          <t xml:space="preserve">Qty</t>
        </is>
      </c>
      <c r="H5" t="inlineStr" s="1">
        <is>
          <t xml:space="preserve">Rate</t>
        </is>
      </c>
      <c r="I5" t="inlineStr" s="10">
        <is>
          <t xml:space="preserve">CD%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>1.</t>
        </is>
      </c>
      <c r="B6" t="inlineStr" s="5">
        <is>
          <t xml:space="preserve">30 FITNESS 6X10</t>
        </is>
      </c>
      <c r="C6" t="inlineStr" s="5">
        <is>
          <t xml:space="preserve">GREY</t>
        </is>
      </c>
      <c r="D6" t="inlineStr" s="5">
        <is>
          <t xml:space="preserve">64022010</t>
        </is>
      </c>
      <c r="E6" s="2">
        <v>729.00</v>
      </c>
      <c r="F6" s="2">
        <v>5.0</v>
      </c>
      <c r="G6" s="18">
        <v>8</v>
      </c>
      <c r="H6" s="2">
        <v>451.43</v>
      </c>
      <c r="I6" s="18">
        <v>3611</v>
      </c>
      <c r="J6" t="inlineStr" s="5">
        <is>
          <t xml:space="preserve">441 ADi</t>
        </is>
      </c>
      <c r="K6" s="12">
        <v>92.06</v>
      </c>
      <c r="L6" t="inlineStr" s="14">
        <is>
          <t xml:space="preserve"/>
        </is>
      </c>
      <c r="M6" s="2">
        <f>IF(L6="",441,ROUND(ROUND(729.00*(100-L6)/(100+5),2)*8,2))</f>
        <v>441</v>
      </c>
    </row>
    <row r="7">
      <c r="A7" t="inlineStr" s="5">
        <is>
          <t xml:space="preserve">2.</t>
        </is>
      </c>
      <c r="B7" t="inlineStr" s="5">
        <is>
          <t xml:space="preserve">30 FITNESS 6X10</t>
        </is>
      </c>
      <c r="C7" t="inlineStr" s="5">
        <is>
          <t xml:space="preserve">OLIVE</t>
        </is>
      </c>
      <c r="D7" t="inlineStr" s="5">
        <is>
          <t xml:space="preserve">64022010</t>
        </is>
      </c>
      <c r="E7" s="2">
        <v>729.00</v>
      </c>
      <c r="F7" s="2">
        <v>5.0</v>
      </c>
      <c r="G7" s="18">
        <v>8</v>
      </c>
      <c r="H7" s="2">
        <v>451.43</v>
      </c>
      <c r="I7" t="inlineStr" s="6">
        <is>
          <t xml:space="preserve"/>
        </is>
      </c>
      <c r="J7" t="inlineStr" s="5">
        <is>
          <t xml:space="preserve"/>
        </is>
      </c>
      <c r="K7" s="12">
        <v>34.98</v>
      </c>
      <c r="L7" t="inlineStr" s="14">
        <is>
          <t xml:space="preserve"/>
        </is>
      </c>
      <c r="M7" s="2">
        <f>IF(L7="",0,ROUND(ROUND(729.00*(100-L7)/(100+5),2)*8,2))</f>
        <v>0</v>
      </c>
    </row>
    <row r="8">
      <c r="A8" t="inlineStr" s="5">
        <is>
          <t xml:space="preserve">3.</t>
        </is>
      </c>
      <c r="B8" t="inlineStr" s="5">
        <is>
          <t xml:space="preserve">377 OFM 5-8</t>
        </is>
      </c>
      <c r="C8" t="inlineStr" s="5">
        <is>
          <t xml:space="preserve">cOPPER</t>
        </is>
      </c>
      <c r="D8" t="inlineStr" s="5">
        <is>
          <t xml:space="preserve">64022010</t>
        </is>
      </c>
      <c r="E8" s="2">
        <v>389.90</v>
      </c>
      <c r="F8" s="2">
        <v>5.0</v>
      </c>
      <c r="G8" s="18">
        <v>8</v>
      </c>
      <c r="H8" s="2">
        <v>240.95</v>
      </c>
      <c r="I8" t="inlineStr" s="6">
        <is>
          <t xml:space="preserve"/>
        </is>
      </c>
      <c r="J8" s="2">
        <v>1927.60</v>
      </c>
      <c r="K8" s="12">
        <v>35.11</v>
      </c>
      <c r="L8" t="inlineStr" s="14">
        <is>
          <t xml:space="preserve"/>
        </is>
      </c>
      <c r="M8" s="2">
        <f>IF(L8="",1927.60,ROUND(ROUND(389.90*(100-L8)/(100+5),2)*8,2))</f>
        <v>1927.60</v>
      </c>
    </row>
    <row r="9">
      <c r="A9" t="inlineStr" s="5">
        <is>
          <t xml:space="preserve">4.</t>
        </is>
      </c>
      <c r="B9" t="inlineStr" s="5">
        <is>
          <t xml:space="preserve">377 OFM 5-8</t>
        </is>
      </c>
      <c r="C9" t="inlineStr" s="5">
        <is>
          <t xml:space="preserve">TULIP</t>
        </is>
      </c>
      <c r="D9" t="inlineStr" s="5">
        <is>
          <t xml:space="preserve">64022010</t>
        </is>
      </c>
      <c r="E9" s="2">
        <v>389.90</v>
      </c>
      <c r="F9" s="2">
        <v>5.0</v>
      </c>
      <c r="G9" s="18">
        <v>8</v>
      </c>
      <c r="H9" s="2">
        <v>240.95</v>
      </c>
      <c r="I9" t="inlineStr" s="6">
        <is>
          <t xml:space="preserve"/>
        </is>
      </c>
      <c r="J9" s="2">
        <v>1927.60</v>
      </c>
      <c r="K9" s="12">
        <v>35.11</v>
      </c>
      <c r="L9" t="inlineStr" s="14">
        <is>
          <t xml:space="preserve"/>
        </is>
      </c>
      <c r="M9" s="2">
        <f>IF(L9="",1927.60,ROUND(ROUND(389.90*(100-L9)/(100+5),2)*8,2))</f>
        <v>1927.60</v>
      </c>
    </row>
    <row r="10">
      <c r="A10" t="inlineStr" s="5">
        <is>
          <t xml:space="preserve">5</t>
        </is>
      </c>
      <c r="B10" t="inlineStr" s="5">
        <is>
          <t xml:space="preserve">DORA 5-8</t>
        </is>
      </c>
      <c r="C10" t="inlineStr" s="5">
        <is>
          <t xml:space="preserve">D.LILAC</t>
        </is>
      </c>
      <c r="D10" t="inlineStr" s="5">
        <is>
          <t xml:space="preserve">64022010</t>
        </is>
      </c>
      <c r="E10" s="2">
        <v>399.90</v>
      </c>
      <c r="F10" s="2">
        <v>5.0</v>
      </c>
      <c r="G10" s="18">
        <v>8</v>
      </c>
      <c r="H10" s="2">
        <v>259.05</v>
      </c>
      <c r="I10" s="18">
        <v>26</v>
      </c>
      <c r="J10" s="2">
        <v>2072.40</v>
      </c>
      <c r="K10" s="12">
        <v>31.98</v>
      </c>
      <c r="L10" t="inlineStr" s="14">
        <is>
          <t xml:space="preserve"/>
        </is>
      </c>
      <c r="M10" s="2">
        <f>IF(L10="",2072.40,ROUND(ROUND(399.90*(100-L10)/(100+5),2)*8,2))</f>
        <v>2072.40</v>
      </c>
    </row>
    <row r="11">
      <c r="A11" t="inlineStr" s="5">
        <is>
          <t xml:space="preserve">6</t>
        </is>
      </c>
      <c r="B11" t="inlineStr" s="5">
        <is>
          <t xml:space="preserve">DORA 5-8</t>
        </is>
      </c>
      <c r="C11" t="inlineStr" s="5">
        <is>
          <t xml:space="preserve">MOUSE</t>
        </is>
      </c>
      <c r="D11" t="inlineStr" s="5">
        <is>
          <t xml:space="preserve">64022010</t>
        </is>
      </c>
      <c r="E11" s="2">
        <v>399.90</v>
      </c>
      <c r="F11" s="2">
        <v>5.0</v>
      </c>
      <c r="G11" s="18">
        <v>8</v>
      </c>
      <c r="H11" s="2">
        <v>259.05</v>
      </c>
      <c r="I11" t="inlineStr" s="6">
        <is>
          <t xml:space="preserve"/>
        </is>
      </c>
      <c r="J11" s="2">
        <v>2072.40</v>
      </c>
      <c r="K11" s="12">
        <v>31.98</v>
      </c>
      <c r="L11" t="inlineStr" s="14">
        <is>
          <t xml:space="preserve"/>
        </is>
      </c>
      <c r="M11" s="2">
        <f>IF(L11="",2072.40,ROUND(ROUND(399.90*(100-L11)/(100+5),2)*8,2))</f>
        <v>2072.40</v>
      </c>
    </row>
    <row r="12">
      <c r="B12" t="inlineStr" s="16">
        <is>
          <t xml:space="preserve">Total</t>
        </is>
      </c>
      <c r="G12" t="inlineStr" s="16">
        <is>
          <t xml:space="preserve">48 pairs</t>
        </is>
      </c>
      <c r="J12" s="15">
        <v>8441.00</v>
      </c>
      <c r="K12" s="12">
        <v>47.92</v>
      </c>
      <c r="M12" s="15">
        <f>SUM(M6:M11)</f>
        <v>8441.00</v>
      </c>
    </row>
    <row r="13">
      <c r="B13" t="inlineStr" s="16">
        <is>
          <t xml:space="preserve">GST (CGST 380.56 + SGST 380.56)</t>
        </is>
      </c>
      <c r="J13" s="15">
        <v>761.12</v>
      </c>
      <c r="M13" s="15">
        <f>ROUND((M6+M7+M8+M9+M10+M11)*5/100,2)</f>
        <v>422.05</v>
      </c>
    </row>
    <row r="14">
      <c r="B14" t="inlineStr" s="16">
        <is>
          <t xml:space="preserve">Grand Total (printed on bill)</t>
        </is>
      </c>
      <c r="J14" s="15">
        <v>15983.00</v>
      </c>
      <c r="L14" t="inlineStr" s="16">
        <is>
          <t xml:space="preserve">नया Total →</t>
        </is>
      </c>
      <c r="M14" s="15">
        <f>ROUND(M12+M13,0)</f>
        <v>8863.00</v>
      </c>
    </row>
    <row r="15">
      <c r="B15" t="inlineStr" s="16">
        <is>
          <t xml:space="preserve">Printed total − calculated = ₹6780.88 — check the bill</t>
        </is>
      </c>
      <c r="J15" s="8">
        <v>6780.88</v>
      </c>
    </row>
    <row r="16"/>
    <row r="17">
      <c r="B17" t="inlineStr" s="16">
        <is>
          <t xml:space="preserve">कंपनी-वार</t>
        </is>
      </c>
      <c r="K17" t="inlineStr" s="11">
        <is>
          <t xml:space="preserve">बैठा % (उन्होंने MRP पर असल कितना दिया)</t>
        </is>
      </c>
      <c r="L17" t="inlineStr" s="10">
        <is>
          <t xml:space="preserve">अपना % (बदल सकते हैं)</t>
        </is>
      </c>
      <c r="M17" t="inlineStr" s="1">
        <is>
          <t xml:space="preserve">नई रकम</t>
        </is>
      </c>
    </row>
    <row r="18">
      <c r="B18" t="inlineStr" s="16">
        <is>
          <t xml:space="preserve">DORA (2 lines · 16 pairs)</t>
        </is>
      </c>
      <c r="J18" s="15">
        <v>4144.80</v>
      </c>
      <c r="K18" s="12">
        <v>31.98</v>
      </c>
      <c r="L18" t="inlineStr" s="5">
        <is>
          <t xml:space="preserve"/>
        </is>
      </c>
      <c r="M18" t="inlineStr" s="5">
        <is>
          <t xml:space="preserve"/>
        </is>
      </c>
    </row>
    <row r="19">
      <c r="B19" t="inlineStr" s="16">
        <is>
          <t xml:space="preserve">OFM (2 lines · 16 pairs)</t>
        </is>
      </c>
      <c r="J19" s="15">
        <v>3855.20</v>
      </c>
      <c r="K19" s="12">
        <v>35.11</v>
      </c>
      <c r="L19" t="inlineStr" s="5">
        <is>
          <t xml:space="preserve"/>
        </is>
      </c>
      <c r="M19" t="inlineStr" s="5">
        <is>
          <t xml:space="preserve"/>
        </is>
      </c>
    </row>
    <row r="20">
      <c r="B20" t="inlineStr" s="16">
        <is>
          <t xml:space="preserve">FITNESS (2 lines · 16 pairs)</t>
        </is>
      </c>
      <c r="J20" s="15">
        <v>441.00</v>
      </c>
      <c r="K20" s="12">
        <v>63.52</v>
      </c>
      <c r="L20" t="inlineStr" s="5">
        <is>
          <t xml:space="preserve"/>
        </is>
      </c>
      <c r="M20" t="inlineStr" s="5">
        <is>
          <t xml:space="preserve"/>
        </is>
      </c>
    </row>
  </sheetData>
  <autoFilter ref="A5:M20"/>
  <pageMargins left="0.4" right="0.4" top="0.5" bottom="0.5" header="0.3" footer="0.3"/>
  <pageSetup orientation="landscape" paperSize="9" fitToWidth="1" fitToHeight="0"/>
</worksheet>
</file>