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%'!$A$5:$M$33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4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4.0" customWidth="1"/>
    <col min="12" max="12" width="13.0" customWidth="1"/>
    <col min="13" max="13" width="16.0" customWidth="1"/>
  </cols>
  <sheetData>
    <row r="1">
      <c r="A1" t="inlineStr" s="7">
        <is>
          <t xml:space="preserve">Trading in red — Invoice D61 — 15/09/2026</t>
        </is>
      </c>
    </row>
    <row r="2">
      <c r="A2" t="inlineStr" s="0">
        <is>
          <t xml:space="preserve">Buyer: Shivtej Footwear   ·   Supplier GSTIN: 27AONPK1329H2ZO   ·   Buyer GSTIN: 27ECIPS0222J1ZI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Sr.</t>
        </is>
      </c>
      <c r="B5" t="inlineStr" s="1">
        <is>
          <t xml:space="preserve">lItem</t>
        </is>
      </c>
      <c r="C5" t="inlineStr" s="1">
        <is>
          <t xml:space="preserve">Colour</t>
        </is>
      </c>
      <c r="D5" t="inlineStr" s="1">
        <is>
          <t xml:space="preserve">HSN</t>
        </is>
      </c>
      <c r="E5" t="inlineStr" s="1">
        <is>
          <t xml:space="preserve">M.R.P.</t>
        </is>
      </c>
      <c r="F5" t="inlineStr" s="1">
        <is>
          <t xml:space="preserve">GST%</t>
        </is>
      </c>
      <c r="G5" t="inlineStr" s="1">
        <is>
          <t xml:space="preserve">Oty</t>
        </is>
      </c>
      <c r="H5" t="inlineStr" s="1">
        <is>
          <t xml:space="preserve">Rate</t>
        </is>
      </c>
      <c r="I5" t="inlineStr" s="10">
        <is>
          <t xml:space="preserve">CD%</t>
        </is>
      </c>
      <c r="J5" t="inlineStr" s="1">
        <is>
          <t xml:space="preserve">Amount</t>
        </is>
      </c>
      <c r="K5" t="inlineStr" s="11">
        <is>
          <t xml:space="preserve">बैठा % (उन्होंने MRP पर असल कितना दिया)</t>
        </is>
      </c>
      <c r="L5" t="inlineStr" s="10">
        <is>
          <t xml:space="preserve">अपना % (बदल सकते हैं)</t>
        </is>
      </c>
      <c r="M5" t="inlineStr" s="1">
        <is>
          <t xml:space="preserve">नई रकम (अपने % से, GST से पहले)</t>
        </is>
      </c>
    </row>
    <row r="6">
      <c r="A6" t="inlineStr" s="5">
        <is>
          <t xml:space="preserve"/>
        </is>
      </c>
      <c r="B6" t="inlineStr" s="5">
        <is>
          <t xml:space="preserve">SAANJH 5-8</t>
        </is>
      </c>
      <c r="C6" t="inlineStr" s="5">
        <is>
          <t xml:space="preserve">LEATHER-6402201o</t>
        </is>
      </c>
      <c r="D6" t="inlineStr" s="5">
        <is>
          <t xml:space="preserve"/>
        </is>
      </c>
      <c r="E6" s="2">
        <v>599.00</v>
      </c>
      <c r="F6" s="2">
        <v>5.0</v>
      </c>
      <c r="G6" s="18">
        <v>8</v>
      </c>
      <c r="H6" s="2">
        <v>309.52</v>
      </c>
      <c r="I6" s="2">
        <v>10.00</v>
      </c>
      <c r="J6" s="2">
        <v>2476.16</v>
      </c>
      <c r="K6" s="12">
        <v>51.17</v>
      </c>
      <c r="L6" t="inlineStr" s="14">
        <is>
          <t xml:space="preserve"/>
        </is>
      </c>
      <c r="M6" s="2">
        <f>IF(L6="",2228.57,ROUND(ROUND(599.00*(100-L6)/(100+5),2)*8,2))</f>
        <v>2228.57</v>
      </c>
    </row>
    <row r="7">
      <c r="A7" t="inlineStr" s="5">
        <is>
          <t xml:space="preserve"/>
        </is>
      </c>
      <c r="B7" t="inlineStr" s="5">
        <is>
          <t xml:space="preserve">SAANJH 5-8</t>
        </is>
      </c>
      <c r="C7" t="inlineStr" s="5">
        <is>
          <t xml:space="preserve">MOUSE</t>
        </is>
      </c>
      <c r="D7" t="inlineStr" s="5">
        <is>
          <t xml:space="preserve">64022010</t>
        </is>
      </c>
      <c r="E7" s="2">
        <v>599.00</v>
      </c>
      <c r="F7" s="2">
        <v>5.0</v>
      </c>
      <c r="G7" s="18">
        <v>8</v>
      </c>
      <c r="H7" s="2">
        <v>309.52</v>
      </c>
      <c r="I7" s="2">
        <v>10.00</v>
      </c>
      <c r="J7" s="2">
        <v>2476.16</v>
      </c>
      <c r="K7" s="12">
        <v>51.17</v>
      </c>
      <c r="L7" t="inlineStr" s="14">
        <is>
          <t xml:space="preserve"/>
        </is>
      </c>
      <c r="M7" s="2">
        <f>IF(L7="",2228.57,ROUND(ROUND(599.00*(100-L7)/(100+5),2)*8,2))</f>
        <v>2228.57</v>
      </c>
    </row>
    <row r="8">
      <c r="A8" t="inlineStr" s="5">
        <is>
          <t xml:space="preserve"/>
        </is>
      </c>
      <c r="B8" t="inlineStr" s="5">
        <is>
          <t xml:space="preserve">PANKHURI 5-8</t>
        </is>
      </c>
      <c r="C8" t="inlineStr" s="5">
        <is>
          <t xml:space="preserve">MOUSE</t>
        </is>
      </c>
      <c r="D8" t="inlineStr" s="5">
        <is>
          <t xml:space="preserve">64022010</t>
        </is>
      </c>
      <c r="E8" s="2">
        <v>559.00</v>
      </c>
      <c r="F8" s="2">
        <v>5.0</v>
      </c>
      <c r="G8" s="18">
        <v>8</v>
      </c>
      <c r="H8" s="2">
        <v>309.52</v>
      </c>
      <c r="I8" s="2">
        <v>10.00</v>
      </c>
      <c r="J8" s="2">
        <v>2476.16</v>
      </c>
      <c r="K8" s="12">
        <v>47.67</v>
      </c>
      <c r="L8" t="inlineStr" s="14">
        <is>
          <t xml:space="preserve"/>
        </is>
      </c>
      <c r="M8" s="2">
        <f>IF(L8="",2228.57,ROUND(ROUND(559.00*(100-L8)/(100+5),2)*8,2))</f>
        <v>2228.57</v>
      </c>
    </row>
    <row r="9">
      <c r="A9" t="inlineStr" s="5">
        <is>
          <t xml:space="preserve">4</t>
        </is>
      </c>
      <c r="B9" t="inlineStr" s="5">
        <is>
          <t xml:space="preserve">IVORY 5-8</t>
        </is>
      </c>
      <c r="C9" t="inlineStr" s="5">
        <is>
          <t xml:space="preserve">PEACH</t>
        </is>
      </c>
      <c r="D9" t="inlineStr" s="5">
        <is>
          <t xml:space="preserve">64022010</t>
        </is>
      </c>
      <c r="E9" s="2">
        <v>579.00</v>
      </c>
      <c r="F9" s="2">
        <v>5.0</v>
      </c>
      <c r="G9" s="18">
        <v>8</v>
      </c>
      <c r="H9" s="2">
        <v>309.52</v>
      </c>
      <c r="I9" s="2">
        <v>10.00</v>
      </c>
      <c r="J9" s="2">
        <v>2476.16</v>
      </c>
      <c r="K9" s="12">
        <v>49.48</v>
      </c>
      <c r="L9" t="inlineStr" s="14">
        <is>
          <t xml:space="preserve"/>
        </is>
      </c>
      <c r="M9" s="2">
        <f>IF(L9="",2228.57,ROUND(ROUND(579.00*(100-L9)/(100+5),2)*8,2))</f>
        <v>2228.57</v>
      </c>
    </row>
    <row r="10">
      <c r="A10" t="inlineStr" s="5">
        <is>
          <t xml:space="preserve">5</t>
        </is>
      </c>
      <c r="B10" t="inlineStr" s="5">
        <is>
          <t xml:space="preserve">SOPHIA 2 5-8</t>
        </is>
      </c>
      <c r="C10" t="inlineStr" s="5">
        <is>
          <t xml:space="preserve">NAVY</t>
        </is>
      </c>
      <c r="D10" t="inlineStr" s="5">
        <is>
          <t xml:space="preserve">64022010</t>
        </is>
      </c>
      <c r="E10" s="2">
        <v>699.00</v>
      </c>
      <c r="F10" s="2">
        <v>5.0</v>
      </c>
      <c r="G10" s="18">
        <v>8</v>
      </c>
      <c r="H10" s="2">
        <v>432.38</v>
      </c>
      <c r="I10" s="2">
        <v>10.00</v>
      </c>
      <c r="J10" s="2">
        <v>3459.04</v>
      </c>
      <c r="K10" s="12">
        <v>41.54</v>
      </c>
      <c r="L10" t="inlineStr" s="14">
        <is>
          <t xml:space="preserve"/>
        </is>
      </c>
      <c r="M10" s="2">
        <f>IF(L10="",3113.17,ROUND(ROUND(699.00*(100-L10)/(100+5),2)*8,2))</f>
        <v>3113.17</v>
      </c>
    </row>
    <row r="11">
      <c r="A11" t="inlineStr" s="5">
        <is>
          <t xml:space="preserve">6</t>
        </is>
      </c>
      <c r="B11" t="inlineStr" s="5">
        <is>
          <t xml:space="preserve">SOPHIA 4 5-8</t>
        </is>
      </c>
      <c r="C11" t="inlineStr" s="5">
        <is>
          <t xml:space="preserve">ONION</t>
        </is>
      </c>
      <c r="D11" t="inlineStr" s="5">
        <is>
          <t xml:space="preserve">64022010</t>
        </is>
      </c>
      <c r="E11" s="2">
        <v>629.00</v>
      </c>
      <c r="F11" s="2">
        <v>5.0</v>
      </c>
      <c r="G11" s="18">
        <v>4</v>
      </c>
      <c r="H11" s="2">
        <v>389.52</v>
      </c>
      <c r="I11" s="2">
        <v>10.00</v>
      </c>
      <c r="J11" s="2">
        <v>1558.08</v>
      </c>
      <c r="K11" s="12">
        <v>41.48</v>
      </c>
      <c r="L11" t="inlineStr" s="14">
        <is>
          <t xml:space="preserve"/>
        </is>
      </c>
      <c r="M11" s="2">
        <f>IF(L11="",1402.29,ROUND(ROUND(629.00*(100-L11)/(100+5),2)*4,2))</f>
        <v>1402.29</v>
      </c>
    </row>
    <row r="12">
      <c r="A12" t="inlineStr" s="5">
        <is>
          <t xml:space="preserve">7</t>
        </is>
      </c>
      <c r="B12" t="inlineStr" s="5">
        <is>
          <t xml:space="preserve">SOPHIA 4 5-8</t>
        </is>
      </c>
      <c r="C12" t="inlineStr" s="5">
        <is>
          <t xml:space="preserve">D.GRY</t>
        </is>
      </c>
      <c r="D12" t="inlineStr" s="5">
        <is>
          <t xml:space="preserve">64022010</t>
        </is>
      </c>
      <c r="E12" s="2">
        <v>629.00</v>
      </c>
      <c r="F12" s="2">
        <v>5.0</v>
      </c>
      <c r="G12" s="18">
        <v>8</v>
      </c>
      <c r="H12" s="2">
        <v>389.52</v>
      </c>
      <c r="I12" s="2">
        <v>10.00</v>
      </c>
      <c r="J12" s="2">
        <v>3116.16</v>
      </c>
      <c r="K12" s="12">
        <v>41.48</v>
      </c>
      <c r="L12" t="inlineStr" s="14">
        <is>
          <t xml:space="preserve"/>
        </is>
      </c>
      <c r="M12" s="2">
        <f>IF(L12="",2804.58,ROUND(ROUND(629.00*(100-L12)/(100+5),2)*8,2))</f>
        <v>2804.58</v>
      </c>
    </row>
    <row r="13">
      <c r="A13" t="inlineStr" s="5">
        <is>
          <t xml:space="preserve">8</t>
        </is>
      </c>
      <c r="B13" t="inlineStr" s="5">
        <is>
          <t xml:space="preserve">SOPHIA 4 5-8</t>
        </is>
      </c>
      <c r="C13" t="inlineStr" s="5">
        <is>
          <t xml:space="preserve">BLACK</t>
        </is>
      </c>
      <c r="D13" t="inlineStr" s="5">
        <is>
          <t xml:space="preserve">64022010</t>
        </is>
      </c>
      <c r="E13" s="2">
        <v>629.00</v>
      </c>
      <c r="F13" s="2">
        <v>5.0</v>
      </c>
      <c r="G13" s="18">
        <v>8</v>
      </c>
      <c r="H13" s="2">
        <v>389.52</v>
      </c>
      <c r="I13" s="2">
        <v>10.00</v>
      </c>
      <c r="J13" s="2">
        <v>3116.16</v>
      </c>
      <c r="K13" s="12">
        <v>41.48</v>
      </c>
      <c r="L13" t="inlineStr" s="14">
        <is>
          <t xml:space="preserve"/>
        </is>
      </c>
      <c r="M13" s="2">
        <f>IF(L13="",2804.58,ROUND(ROUND(629.00*(100-L13)/(100+5),2)*8,2))</f>
        <v>2804.58</v>
      </c>
    </row>
    <row r="14">
      <c r="A14" t="inlineStr" s="5">
        <is>
          <t xml:space="preserve">9.</t>
        </is>
      </c>
      <c r="B14" t="inlineStr" s="5">
        <is>
          <t xml:space="preserve">sOPHIA 4 5-8</t>
        </is>
      </c>
      <c r="C14" t="inlineStr" s="5">
        <is>
          <t xml:space="preserve">NAVY</t>
        </is>
      </c>
      <c r="D14" t="inlineStr" s="5">
        <is>
          <t xml:space="preserve">64022010</t>
        </is>
      </c>
      <c r="E14" s="2">
        <v>629.00</v>
      </c>
      <c r="F14" s="2">
        <v>5.0</v>
      </c>
      <c r="G14" s="18">
        <v>8</v>
      </c>
      <c r="H14" s="2">
        <v>389.52</v>
      </c>
      <c r="I14" s="2">
        <v>10.00</v>
      </c>
      <c r="J14" s="2">
        <v>3116.16</v>
      </c>
      <c r="K14" s="12">
        <v>41.48</v>
      </c>
      <c r="L14" t="inlineStr" s="14">
        <is>
          <t xml:space="preserve"/>
        </is>
      </c>
      <c r="M14" s="2">
        <f>IF(L14="",2804.58,ROUND(ROUND(629.00*(100-L14)/(100+5),2)*8,2))</f>
        <v>2804.58</v>
      </c>
    </row>
    <row r="15">
      <c r="A15" t="inlineStr" s="5">
        <is>
          <t xml:space="preserve">10.</t>
        </is>
      </c>
      <c r="B15" t="inlineStr" s="5">
        <is>
          <t xml:space="preserve">24202 5X8</t>
        </is>
      </c>
      <c r="C15" t="inlineStr" s="5">
        <is>
          <t xml:space="preserve">CHRY</t>
        </is>
      </c>
      <c r="D15" t="inlineStr" s="5">
        <is>
          <t xml:space="preserve">64022010</t>
        </is>
      </c>
      <c r="E15" s="2">
        <v>225.00</v>
      </c>
      <c r="F15" s="2">
        <v>5.0</v>
      </c>
      <c r="G15" s="18">
        <v>8</v>
      </c>
      <c r="H15" s="2">
        <v>139.05</v>
      </c>
      <c r="I15" s="2">
        <v>10.00</v>
      </c>
      <c r="J15" s="2">
        <v>1112.40</v>
      </c>
      <c r="K15" s="12">
        <v>41.60</v>
      </c>
      <c r="L15" t="inlineStr" s="14">
        <is>
          <t xml:space="preserve"/>
        </is>
      </c>
      <c r="M15" s="2">
        <f>IF(L15="",1001.17,ROUND(ROUND(225.00*(100-L15)/(100+5),2)*8,2))</f>
        <v>1001.17</v>
      </c>
    </row>
    <row r="16">
      <c r="A16" t="inlineStr" s="5">
        <is>
          <t xml:space="preserve">11</t>
        </is>
      </c>
      <c r="B16" t="inlineStr" s="5">
        <is>
          <t xml:space="preserve">SOFTY 5X8</t>
        </is>
      </c>
      <c r="C16" t="inlineStr" s="5">
        <is>
          <t xml:space="preserve">PEACH</t>
        </is>
      </c>
      <c r="D16" t="inlineStr" s="5">
        <is>
          <t xml:space="preserve">64022010</t>
        </is>
      </c>
      <c r="E16" s="2">
        <v>359.00</v>
      </c>
      <c r="F16" t="inlineStr" s="5">
        <is>
          <t xml:space="preserve">2922223:: 5.0</t>
        </is>
      </c>
      <c r="G16" s="18">
        <v>8</v>
      </c>
      <c r="H16" s="2">
        <v>221.90</v>
      </c>
      <c r="I16" s="2">
        <v>10.00</v>
      </c>
      <c r="J16" s="2">
        <v>1775.20</v>
      </c>
      <c r="K16" s="12">
        <v>41.59</v>
      </c>
      <c r="L16" t="inlineStr" s="14">
        <is>
          <t xml:space="preserve"/>
        </is>
      </c>
      <c r="M16" s="2">
        <f>IF(L16="",1597.70,ROUND(ROUND(359.00*(100-L16)/(100+5),2)*8,2))</f>
        <v>1597.70</v>
      </c>
    </row>
    <row r="17">
      <c r="A17" t="inlineStr" s="5">
        <is>
          <t xml:space="preserve">12</t>
        </is>
      </c>
      <c r="B17" t="inlineStr" s="5">
        <is>
          <t xml:space="preserve">ZARA 15 11-13</t>
        </is>
      </c>
      <c r="C17" t="inlineStr" s="5">
        <is>
          <t xml:space="preserve">TAN</t>
        </is>
      </c>
      <c r="D17" t="inlineStr" s="5">
        <is>
          <t xml:space="preserve">64022010</t>
        </is>
      </c>
      <c r="E17" s="2">
        <v>189.00</v>
      </c>
      <c r="F17" s="2">
        <v>5.0</v>
      </c>
      <c r="G17" s="18">
        <v>6</v>
      </c>
      <c r="H17" s="2">
        <v>117.14</v>
      </c>
      <c r="I17" s="2">
        <v>10.00</v>
      </c>
      <c r="J17" s="2">
        <v>702.84</v>
      </c>
      <c r="K17" s="12">
        <v>41.43</v>
      </c>
      <c r="L17" t="inlineStr" s="14">
        <is>
          <t xml:space="preserve"/>
        </is>
      </c>
      <c r="M17" s="2">
        <f>IF(L17="",632.56,ROUND(ROUND(189.00*(100-L17)/(100+5),2)*6,2))</f>
        <v>632.56</v>
      </c>
    </row>
    <row r="18">
      <c r="A18" t="inlineStr" s="5">
        <is>
          <t xml:space="preserve">13</t>
        </is>
      </c>
      <c r="B18" t="inlineStr" s="5">
        <is>
          <t xml:space="preserve">ZARA 15 1X3</t>
        </is>
      </c>
      <c r="C18" t="inlineStr" s="5">
        <is>
          <t xml:space="preserve">TAN</t>
        </is>
      </c>
      <c r="D18" t="inlineStr" s="5">
        <is>
          <t xml:space="preserve">64022010o</t>
        </is>
      </c>
      <c r="E18" s="2">
        <v>195.00</v>
      </c>
      <c r="F18" s="2">
        <v>5.0</v>
      </c>
      <c r="G18" s="18">
        <v>6</v>
      </c>
      <c r="H18" s="2">
        <v>120.95</v>
      </c>
      <c r="I18" s="2">
        <v>10.00</v>
      </c>
      <c r="J18" s="2">
        <v>725.70</v>
      </c>
      <c r="K18" s="12">
        <v>41.39</v>
      </c>
      <c r="L18" t="inlineStr" s="14">
        <is>
          <t xml:space="preserve"/>
        </is>
      </c>
      <c r="M18" s="2">
        <f>IF(L18="",653.14,ROUND(ROUND(195.00*(100-L18)/(100+5),2)*6,2))</f>
        <v>653.14</v>
      </c>
    </row>
    <row r="19">
      <c r="A19" t="inlineStr" s="5">
        <is>
          <t xml:space="preserve">14</t>
        </is>
      </c>
      <c r="B19" t="inlineStr" s="5">
        <is>
          <t xml:space="preserve">ZARA 15 11-13</t>
        </is>
      </c>
      <c r="C19" t="inlineStr" s="5">
        <is>
          <t xml:space="preserve">CHRY</t>
        </is>
      </c>
      <c r="D19" t="inlineStr" s="5">
        <is>
          <t xml:space="preserve">64022010</t>
        </is>
      </c>
      <c r="E19" s="2">
        <v>189.00</v>
      </c>
      <c r="F19" s="2">
        <v>5.0</v>
      </c>
      <c r="G19" s="18">
        <v>6</v>
      </c>
      <c r="H19" s="2">
        <v>117.14</v>
      </c>
      <c r="I19" s="2">
        <v>10.00</v>
      </c>
      <c r="J19" s="2">
        <v>702.84</v>
      </c>
      <c r="K19" s="12">
        <v>41.43</v>
      </c>
      <c r="L19" t="inlineStr" s="14">
        <is>
          <t xml:space="preserve"/>
        </is>
      </c>
      <c r="M19" s="2">
        <f>IF(L19="",632.56,ROUND(ROUND(189.00*(100-L19)/(100+5),2)*6,2))</f>
        <v>632.56</v>
      </c>
    </row>
    <row r="20">
      <c r="A20" t="inlineStr" s="5">
        <is>
          <t xml:space="preserve">15</t>
        </is>
      </c>
      <c r="B20" t="inlineStr" s="5">
        <is>
          <t xml:space="preserve">ZARA 15 1X3</t>
        </is>
      </c>
      <c r="C20" t="inlineStr" s="5">
        <is>
          <t xml:space="preserve">CHRY</t>
        </is>
      </c>
      <c r="D20" t="inlineStr" s="5">
        <is>
          <t xml:space="preserve">64022010</t>
        </is>
      </c>
      <c r="E20" s="2">
        <v>195.00</v>
      </c>
      <c r="F20" s="2">
        <v>5.0</v>
      </c>
      <c r="G20" s="18">
        <v>6</v>
      </c>
      <c r="H20" s="2">
        <v>120.95</v>
      </c>
      <c r="I20" s="2">
        <v>10.00</v>
      </c>
      <c r="J20" s="2">
        <v>725.70</v>
      </c>
      <c r="K20" s="12">
        <v>41.39</v>
      </c>
      <c r="L20" t="inlineStr" s="14">
        <is>
          <t xml:space="preserve"/>
        </is>
      </c>
      <c r="M20" s="2">
        <f>IF(L20="",653.14,ROUND(ROUND(195.00*(100-L20)/(100+5),2)*6,2))</f>
        <v>653.14</v>
      </c>
    </row>
    <row r="21">
      <c r="B21" t="inlineStr" s="16">
        <is>
          <t xml:space="preserve">Total</t>
        </is>
      </c>
      <c r="G21" t="inlineStr" s="16">
        <is>
          <t xml:space="preserve">108 pairs</t>
        </is>
      </c>
      <c r="J21" s="15">
        <v>30014.92</v>
      </c>
      <c r="K21" s="12">
        <v>44.57</v>
      </c>
      <c r="M21" s="15">
        <f>SUM(M6:M20)</f>
        <v>27013.75</v>
      </c>
    </row>
    <row r="22">
      <c r="B22" t="inlineStr" s="16">
        <is>
          <t xml:space="preserve">GST (CGST 675.49 + SGST 675.49)</t>
        </is>
      </c>
      <c r="J22" s="15">
        <v>1350.98</v>
      </c>
      <c r="M22" s="15">
        <f>ROUND((M6+M7+M8+M9+M10+M11+M12+M13+M14+M15+M16+M17+M18+M19+M20)*5/100,2)</f>
        <v>1350.69</v>
      </c>
    </row>
    <row r="23">
      <c r="B23" t="inlineStr" s="16">
        <is>
          <t xml:space="preserve">Grand Total (printed on bill)</t>
        </is>
      </c>
      <c r="J23" s="15">
        <v>28368.00</v>
      </c>
      <c r="L23" t="inlineStr" s="16">
        <is>
          <t xml:space="preserve">नया Total →</t>
        </is>
      </c>
      <c r="M23" s="15">
        <f>ROUND(M21+M22,0)</f>
        <v>28364.00</v>
      </c>
    </row>
    <row r="24">
      <c r="B24" t="inlineStr" s="16">
        <is>
          <t xml:space="preserve">Printed total − calculated = ₹3.26 — check the bill</t>
        </is>
      </c>
      <c r="J24" s="8">
        <v>3.26</v>
      </c>
    </row>
    <row r="25"/>
    <row r="26">
      <c r="B26" t="inlineStr" s="16">
        <is>
          <t xml:space="preserve">कंपनी-वार</t>
        </is>
      </c>
      <c r="K26" t="inlineStr" s="11">
        <is>
          <t xml:space="preserve">बैठा % (उन्होंने MRP पर असल कितना दिया)</t>
        </is>
      </c>
      <c r="L26" t="inlineStr" s="10">
        <is>
          <t xml:space="preserve">अपना % (बदल सकते हैं)</t>
        </is>
      </c>
      <c r="M26" t="inlineStr" s="1">
        <is>
          <t xml:space="preserve">नई रकम</t>
        </is>
      </c>
    </row>
    <row r="27">
      <c r="B27" t="inlineStr" s="16">
        <is>
          <t xml:space="preserve">SOPHIA (5 lines · 36 pairs)</t>
        </is>
      </c>
      <c r="J27" s="15">
        <v>14365.60</v>
      </c>
      <c r="K27" s="12">
        <v>41.49</v>
      </c>
      <c r="L27" t="inlineStr" s="5">
        <is>
          <t xml:space="preserve"/>
        </is>
      </c>
      <c r="M27" t="inlineStr" s="5">
        <is>
          <t xml:space="preserve"/>
        </is>
      </c>
    </row>
    <row r="28">
      <c r="B28" t="inlineStr" s="16">
        <is>
          <t xml:space="preserve">SAANJH (2 lines · 16 pairs)</t>
        </is>
      </c>
      <c r="J28" s="15">
        <v>4952.32</v>
      </c>
      <c r="K28" s="12">
        <v>51.17</v>
      </c>
      <c r="L28" t="inlineStr" s="5">
        <is>
          <t xml:space="preserve"/>
        </is>
      </c>
      <c r="M28" t="inlineStr" s="5">
        <is>
          <t xml:space="preserve"/>
        </is>
      </c>
    </row>
    <row r="29">
      <c r="B29" t="inlineStr" s="16">
        <is>
          <t xml:space="preserve">ZARA (4 lines · 24 pairs)</t>
        </is>
      </c>
      <c r="J29" s="15">
        <v>2857.08</v>
      </c>
      <c r="K29" s="12">
        <v>41.41</v>
      </c>
      <c r="L29" t="inlineStr" s="5">
        <is>
          <t xml:space="preserve"/>
        </is>
      </c>
      <c r="M29" t="inlineStr" s="5">
        <is>
          <t xml:space="preserve"/>
        </is>
      </c>
    </row>
    <row r="30">
      <c r="B30" t="inlineStr" s="16">
        <is>
          <t xml:space="preserve">PANKHURI (1 lines · 8 pairs)</t>
        </is>
      </c>
      <c r="J30" s="15">
        <v>2476.16</v>
      </c>
      <c r="K30" s="12">
        <v>47.67</v>
      </c>
      <c r="L30" t="inlineStr" s="5">
        <is>
          <t xml:space="preserve"/>
        </is>
      </c>
      <c r="M30" t="inlineStr" s="5">
        <is>
          <t xml:space="preserve"/>
        </is>
      </c>
    </row>
    <row r="31">
      <c r="B31" t="inlineStr" s="16">
        <is>
          <t xml:space="preserve">IVORY (1 lines · 8 pairs)</t>
        </is>
      </c>
      <c r="J31" s="15">
        <v>2476.16</v>
      </c>
      <c r="K31" s="12">
        <v>49.48</v>
      </c>
      <c r="L31" t="inlineStr" s="5">
        <is>
          <t xml:space="preserve"/>
        </is>
      </c>
      <c r="M31" t="inlineStr" s="5">
        <is>
          <t xml:space="preserve"/>
        </is>
      </c>
    </row>
    <row r="32">
      <c r="B32" t="inlineStr" s="16">
        <is>
          <t xml:space="preserve">SOFTY (1 lines · 8 pairs)</t>
        </is>
      </c>
      <c r="J32" s="15">
        <v>1775.20</v>
      </c>
      <c r="K32" s="12">
        <v>41.59</v>
      </c>
      <c r="L32" t="inlineStr" s="5">
        <is>
          <t xml:space="preserve"/>
        </is>
      </c>
      <c r="M32" t="inlineStr" s="5">
        <is>
          <t xml:space="preserve"/>
        </is>
      </c>
    </row>
    <row r="33">
      <c r="B33" t="inlineStr" s="16">
        <is>
          <t xml:space="preserve">अन्य (1 lines · 8 pairs)</t>
        </is>
      </c>
      <c r="J33" s="15">
        <v>1112.40</v>
      </c>
      <c r="K33" s="12">
        <v>41.60</v>
      </c>
      <c r="L33" t="inlineStr" s="5">
        <is>
          <t xml:space="preserve"/>
        </is>
      </c>
      <c r="M33" t="inlineStr" s="5">
        <is>
          <t xml:space="preserve"/>
        </is>
      </c>
    </row>
  </sheetData>
  <autoFilter ref="A5:M33"/>
  <pageMargins left="0.4" right="0.4" top="0.5" bottom="0.5" header="0.3" footer="0.3"/>
  <pageSetup orientation="landscape" paperSize="9" fitToWidth="1" fitToHeight="0"/>
</worksheet>
</file>