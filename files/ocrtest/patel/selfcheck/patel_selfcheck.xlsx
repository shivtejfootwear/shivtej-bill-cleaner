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%'!$A$5:$P$26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1.0" customWidth="1"/>
    <col min="13" max="13" width="11.0" customWidth="1"/>
    <col min="14" max="14" width="14.0" customWidth="1"/>
    <col min="15" max="15" width="13.0" customWidth="1"/>
    <col min="16" max="16" width="16.0" customWidth="1"/>
  </cols>
  <sheetData>
    <row r="1">
      <c r="A1" t="inlineStr" s="7">
        <is>
          <t xml:space="preserve">PATEL TRADELINES — Invoice G2/2627/1309 — 20-Oct-2026</t>
        </is>
      </c>
    </row>
    <row r="2">
      <c r="A2" t="inlineStr" s="0">
        <is>
          <t xml:space="preserve">Buyer: SHIVTEJ FOOTWEAR AKLUJ   ·   Supplier GSTIN: 27AHTPP0412H1Z9   ·   Buyer GSTIN: Not found</t>
        </is>
      </c>
    </row>
    <row r="3">
      <c r="A3" t="inlineStr" s="0">
        <is>
          <t xml:space="preserve">Columns up to "SGST 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 No.</t>
        </is>
      </c>
      <c r="B5" t="inlineStr" s="1">
        <is>
          <t xml:space="preserve">Description Of Goods</t>
        </is>
      </c>
      <c r="C5" t="inlineStr" s="1">
        <is>
          <t xml:space="preserve">HSN Code</t>
        </is>
      </c>
      <c r="D5" t="inlineStr" s="1">
        <is>
          <t xml:space="preserve">Qty in Pairs</t>
        </is>
      </c>
      <c r="E5" t="inlineStr" s="1">
        <is>
          <t xml:space="preserve">Rate /Pair()</t>
        </is>
      </c>
      <c r="F5" t="inlineStr" s="1">
        <is>
          <t xml:space="preserve">Total</t>
        </is>
      </c>
      <c r="G5" t="inlineStr" s="10">
        <is>
          <t xml:space="preserve">Discount %</t>
        </is>
      </c>
      <c r="H5" t="inlineStr" s="1">
        <is>
          <t xml:space="preserve">Discount Amount</t>
        </is>
      </c>
      <c r="I5" t="inlineStr" s="1">
        <is>
          <t xml:space="preserve">Taxable Value</t>
        </is>
      </c>
      <c r="J5" t="inlineStr" s="1">
        <is>
          <t xml:space="preserve">CGST %</t>
        </is>
      </c>
      <c r="K5" t="inlineStr" s="1">
        <is>
          <t xml:space="preserve">CGST Amount</t>
        </is>
      </c>
      <c r="L5" t="inlineStr" s="1">
        <is>
          <t xml:space="preserve">SGST %</t>
        </is>
      </c>
      <c r="M5" t="inlineStr" s="1">
        <is>
          <t xml:space="preserve">SGST Amount</t>
        </is>
      </c>
      <c r="N5" t="inlineStr" s="11">
        <is>
          <t xml:space="preserve">बैठा % (उन्होंने MRP पर असल कितना दिया)</t>
        </is>
      </c>
      <c r="O5" t="inlineStr" s="10">
        <is>
          <t xml:space="preserve">अपना % (बदल सकते हैं)</t>
        </is>
      </c>
      <c r="P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1180-Paralite-Gents-EVA-6X10 MRP: 235.00 BLK 6X8/1</t>
        </is>
      </c>
      <c r="C6" t="inlineStr" s="5">
        <is>
          <t xml:space="preserve">64029 990</t>
        </is>
      </c>
      <c r="D6" s="18">
        <v>18</v>
      </c>
      <c r="E6" s="2">
        <v>170.12</v>
      </c>
      <c r="F6" s="2">
        <v>3062.16</v>
      </c>
      <c r="G6" s="2">
        <v>3.00</v>
      </c>
      <c r="H6" s="2">
        <v>91.86</v>
      </c>
      <c r="I6" s="2">
        <v>2970.30</v>
      </c>
      <c r="J6" s="2">
        <v>2.50</v>
      </c>
      <c r="K6" s="2">
        <v>74.26</v>
      </c>
      <c r="L6" s="2">
        <v>2.50</v>
      </c>
      <c r="M6" s="2">
        <v>74.26</v>
      </c>
      <c r="N6" s="12">
        <v>26.27</v>
      </c>
      <c r="O6" t="inlineStr" s="14">
        <is>
          <t xml:space="preserve"/>
        </is>
      </c>
      <c r="P6" s="2">
        <f>IF(O6="",2970.30,ROUND(ROUND(235.00*(100-O6)/(100+5),2)*18,2))</f>
        <v>2970.30</v>
      </c>
    </row>
    <row r="7">
      <c r="A7" t="inlineStr" s="5">
        <is>
          <t xml:space="preserve">2</t>
        </is>
      </c>
      <c r="B7" t="inlineStr" s="5">
        <is>
          <t xml:space="preserve">1210-Paralite-Gents-EVA-6X10 MRP: 169.50 SIGNATUE Black 10/24</t>
        </is>
      </c>
      <c r="C7" t="inlineStr" s="5">
        <is>
          <t xml:space="preserve">64022 090</t>
        </is>
      </c>
      <c r="D7" s="18">
        <v>24</v>
      </c>
      <c r="E7" s="2">
        <v>122.71</v>
      </c>
      <c r="F7" s="2">
        <v>2945.04</v>
      </c>
      <c r="G7" s="2">
        <v>3.00</v>
      </c>
      <c r="H7" s="2">
        <v>88.35</v>
      </c>
      <c r="I7" s="2">
        <v>2856.69</v>
      </c>
      <c r="J7" s="2">
        <v>2.50</v>
      </c>
      <c r="K7" s="2">
        <v>71.42</v>
      </c>
      <c r="L7" s="2">
        <v>2.50</v>
      </c>
      <c r="M7" s="2">
        <v>71.42</v>
      </c>
      <c r="N7" s="12">
        <v>26.27</v>
      </c>
      <c r="O7" t="inlineStr" s="14">
        <is>
          <t xml:space="preserve"/>
        </is>
      </c>
      <c r="P7" s="2">
        <f>IF(O7="",2856.69,ROUND(ROUND(169.50*(100-O7)/(100+5),2)*24,2))</f>
        <v>2856.69</v>
      </c>
    </row>
    <row r="8">
      <c r="A8" t="inlineStr" s="5">
        <is>
          <t xml:space="preserve">3.</t>
        </is>
      </c>
      <c r="B8" t="inlineStr" s="5">
        <is>
          <t xml:space="preserve">1251-Paralite-Gents-EVA-6X10 MRP: 245.00 BlackRed 8/5,9/4,10/3 RECEIVER</t>
        </is>
      </c>
      <c r="C8" t="inlineStr" s="5">
        <is>
          <t xml:space="preserve">64029 990</t>
        </is>
      </c>
      <c r="D8" s="18">
        <v>12</v>
      </c>
      <c r="E8" s="2">
        <v>165.00</v>
      </c>
      <c r="F8" t="inlineStr" s="5">
        <is>
          <t xml:space="preserve">1980.0o</t>
        </is>
      </c>
      <c r="G8" s="2">
        <v>3.00</v>
      </c>
      <c r="H8" s="2">
        <v>59.40</v>
      </c>
      <c r="I8" s="2">
        <v>1920.60</v>
      </c>
      <c r="J8" s="2">
        <v>2.50</v>
      </c>
      <c r="K8" s="2">
        <v>48.02</v>
      </c>
      <c r="L8" s="2">
        <v>2.50</v>
      </c>
      <c r="M8" s="2">
        <v>48.02</v>
      </c>
      <c r="N8" s="12">
        <v>31.41</v>
      </c>
      <c r="O8" t="inlineStr" s="14">
        <is>
          <t xml:space="preserve"/>
        </is>
      </c>
      <c r="P8" s="2">
        <f>IF(O8="",1920.60,ROUND(ROUND(245.00*(100-O8)/(100+5),2)*12,2))</f>
        <v>1920.60</v>
      </c>
    </row>
    <row r="9">
      <c r="A9" t="inlineStr" s="5">
        <is>
          <t xml:space="preserve">4</t>
        </is>
      </c>
      <c r="B9" t="inlineStr" s="5">
        <is>
          <t xml:space="preserve">1553-Paralite-Gents-EVA-6X10 MRP: 174.00 Black 6/2,7/3,8/3,9/2,10/2 Grey 7/3,8/3,9/3,10/3</t>
        </is>
      </c>
      <c r="C9" t="inlineStr" s="5">
        <is>
          <t xml:space="preserve">64022 090</t>
        </is>
      </c>
      <c r="D9" s="18">
        <v>24</v>
      </c>
      <c r="E9" s="2">
        <v>117.19</v>
      </c>
      <c r="F9" s="2">
        <v>2812.56</v>
      </c>
      <c r="G9" s="2">
        <v>3.00</v>
      </c>
      <c r="H9" s="2">
        <v>84.38</v>
      </c>
      <c r="I9" s="2">
        <v>2728.18</v>
      </c>
      <c r="J9" s="2">
        <v>2.50</v>
      </c>
      <c r="K9" s="2">
        <v>68.22</v>
      </c>
      <c r="L9" s="2">
        <v>2.50</v>
      </c>
      <c r="M9" s="2">
        <v>68.22</v>
      </c>
      <c r="N9" s="12">
        <v>31.40</v>
      </c>
      <c r="O9" t="inlineStr" s="14">
        <is>
          <t xml:space="preserve"/>
        </is>
      </c>
      <c r="P9" s="2">
        <f>IF(O9="",2728.18,ROUND(ROUND(174.00*(100-O9)/(100+5),2)*24,2))</f>
        <v>2728.18</v>
      </c>
    </row>
    <row r="10">
      <c r="A10" t="inlineStr" s="5">
        <is>
          <t xml:space="preserve">5</t>
        </is>
      </c>
      <c r="B10" t="inlineStr" s="5">
        <is>
          <t xml:space="preserve">1562-Paralite-Gents-EVA-6X10 MRP: 194.00 BLK 6X10/1</t>
        </is>
      </c>
      <c r="C10" t="inlineStr" s="5">
        <is>
          <t xml:space="preserve">64022 090</t>
        </is>
      </c>
      <c r="D10" s="18">
        <v>18</v>
      </c>
      <c r="E10" s="2">
        <v>130.66</v>
      </c>
      <c r="F10" s="2">
        <v>2351.88</v>
      </c>
      <c r="G10" s="2">
        <v>3.000</v>
      </c>
      <c r="H10" s="2">
        <v>70.56</v>
      </c>
      <c r="I10" s="2">
        <v>2281.32</v>
      </c>
      <c r="J10" s="2">
        <v>2.50</v>
      </c>
      <c r="K10" s="2">
        <v>57.03</v>
      </c>
      <c r="L10" s="2">
        <v>2.50</v>
      </c>
      <c r="M10" s="2">
        <v>57.03</v>
      </c>
      <c r="N10" s="12">
        <v>31.40</v>
      </c>
      <c r="O10" t="inlineStr" s="14">
        <is>
          <t xml:space="preserve"/>
        </is>
      </c>
      <c r="P10" s="2">
        <f>IF(O10="",2281.32,ROUND(ROUND(194.00*(100-O10)/(100+5),2)*18,2))</f>
        <v>2281.32</v>
      </c>
    </row>
    <row r="11">
      <c r="A11" t="inlineStr" s="5">
        <is>
          <t xml:space="preserve">6</t>
        </is>
      </c>
      <c r="B11" t="inlineStr" s="5">
        <is>
          <t xml:space="preserve">6962-Vertex-Gents-PU-6X10 MRP: 255.00 RedBlack 6/2,7/3,8/3,9/2,10/2</t>
        </is>
      </c>
      <c r="C11" t="inlineStr" s="5">
        <is>
          <t xml:space="preserve">64029 990</t>
        </is>
      </c>
      <c r="D11" s="18">
        <v>12</v>
      </c>
      <c r="E11" s="2">
        <v>171.73</v>
      </c>
      <c r="F11" s="2">
        <v>2060.76</v>
      </c>
      <c r="G11" s="2">
        <v>3.00</v>
      </c>
      <c r="H11" s="2">
        <v>61.82</v>
      </c>
      <c r="I11" s="2">
        <v>1998.94</v>
      </c>
      <c r="J11" s="2">
        <v>2.50</v>
      </c>
      <c r="K11" s="2">
        <v>49.97</v>
      </c>
      <c r="L11" s="2">
        <v>2.50</v>
      </c>
      <c r="M11" s="2">
        <v>49.97</v>
      </c>
      <c r="N11" s="12">
        <v>31.41</v>
      </c>
      <c r="O11" t="inlineStr" s="14">
        <is>
          <t xml:space="preserve"/>
        </is>
      </c>
      <c r="P11" s="2">
        <f>IF(O11="",1998.94,ROUND(ROUND(255.00*(100-O11)/(100+5),2)*12,2))</f>
        <v>1998.94</v>
      </c>
    </row>
    <row r="12">
      <c r="A12" t="inlineStr" s="5">
        <is>
          <t xml:space="preserve">7</t>
        </is>
      </c>
      <c r="B12" t="inlineStr" s="5">
        <is>
          <t xml:space="preserve">E6225-EEken-Gents-PU-6X10 MRP 605.00 Black 6/2,7/3,8/3,9/2,10/2</t>
        </is>
      </c>
      <c r="C12" t="inlineStr" s="5">
        <is>
          <t xml:space="preserve">64029 990</t>
        </is>
      </c>
      <c r="D12" s="18">
        <v>12</v>
      </c>
      <c r="E12" s="2">
        <v>374.50</v>
      </c>
      <c r="F12" s="2">
        <v>4494.00</v>
      </c>
      <c r="G12" s="2">
        <v>3.00</v>
      </c>
      <c r="H12" s="2">
        <v>134.82</v>
      </c>
      <c r="I12" s="2">
        <v>4359.18</v>
      </c>
      <c r="J12" s="2">
        <v>2.50</v>
      </c>
      <c r="K12" s="2">
        <v>108.98</v>
      </c>
      <c r="L12" s="2">
        <v>2.50</v>
      </c>
      <c r="M12" s="2">
        <v>108.98</v>
      </c>
      <c r="N12" s="12">
        <v>36.95</v>
      </c>
      <c r="O12" t="inlineStr" s="14">
        <is>
          <t xml:space="preserve"/>
        </is>
      </c>
      <c r="P12" s="2">
        <f>IF(O12="",4359.18,ROUND(ROUND(605.00*(100-O12)/(100+5),2)*12,2))</f>
        <v>4359.18</v>
      </c>
    </row>
    <row r="13">
      <c r="A13" t="inlineStr" s="5">
        <is>
          <t xml:space="preserve">8</t>
        </is>
      </c>
      <c r="B13" t="inlineStr" s="5">
        <is>
          <t xml:space="preserve">E6225-EEken-Gents-PU-6X10 MRP : 639.00 Tan 6/2,7/3,8/3,9/2, 10/2</t>
        </is>
      </c>
      <c r="C13" t="inlineStr" s="5">
        <is>
          <t xml:space="preserve">64029 990</t>
        </is>
      </c>
      <c r="D13" s="18">
        <v>12</v>
      </c>
      <c r="E13" s="2">
        <v>389.33</v>
      </c>
      <c r="F13" s="2">
        <v>4671.96</v>
      </c>
      <c r="G13" s="2">
        <v>3.00</v>
      </c>
      <c r="H13" s="2">
        <v>140.16</v>
      </c>
      <c r="I13" t="inlineStr" s="5">
        <is>
          <t xml:space="preserve">4531.8o</t>
        </is>
      </c>
      <c r="J13" s="2">
        <v>2.50</v>
      </c>
      <c r="K13" s="2">
        <v>113.28</v>
      </c>
      <c r="L13" s="2">
        <v>2.50</v>
      </c>
      <c r="M13" s="2">
        <v>113.28</v>
      </c>
      <c r="N13" s="12">
        <v>37.94</v>
      </c>
      <c r="O13" t="inlineStr" s="14">
        <is>
          <t xml:space="preserve"/>
        </is>
      </c>
      <c r="P13" s="2">
        <f>IF(O13="",4531.80,ROUND(ROUND(639.00*(100-O13)/(100+5),2)*12,2))</f>
        <v>4531.80</v>
      </c>
    </row>
    <row r="14">
      <c r="A14" t="inlineStr" s="5">
        <is>
          <t xml:space="preserve"/>
        </is>
      </c>
      <c r="B14" t="inlineStr" s="5">
        <is>
          <t xml:space="preserve">E6227-eeken-Gents-PU-6X10 MRP 555.00 Brown</t>
        </is>
      </c>
      <c r="C14" t="inlineStr" s="5">
        <is>
          <t xml:space="preserve">64029 990 7/1</t>
        </is>
      </c>
      <c r="D14" s="18">
        <v>1</v>
      </c>
      <c r="E14" s="2">
        <v>343.55</v>
      </c>
      <c r="F14" s="2">
        <v>343.55</v>
      </c>
      <c r="G14" s="2">
        <v>3.00</v>
      </c>
      <c r="H14" s="2">
        <v>10.31</v>
      </c>
      <c r="I14" s="2">
        <v>333.24</v>
      </c>
      <c r="J14" s="2">
        <v>2.50</v>
      </c>
      <c r="K14" s="2">
        <v>8.33</v>
      </c>
      <c r="L14" s="2">
        <v>2.50</v>
      </c>
      <c r="M14" s="2">
        <v>8.33</v>
      </c>
      <c r="N14" s="12">
        <v>36.95</v>
      </c>
      <c r="O14" t="inlineStr" s="14">
        <is>
          <t xml:space="preserve"/>
        </is>
      </c>
      <c r="P14" s="2">
        <f>IF(O14="",333.24,ROUND(ROUND(555.00*(100-O14)/(100+5),2)*1,2))</f>
        <v>333.24</v>
      </c>
    </row>
    <row r="15">
      <c r="A15" t="inlineStr" s="5">
        <is>
          <t xml:space="preserve">10</t>
        </is>
      </c>
      <c r="B15" t="inlineStr" s="5">
        <is>
          <t xml:space="preserve">FREIGHT-NA-FREIGHT-NA-0X0 MRP: 446.00 MIX</t>
        </is>
      </c>
      <c r="C15" t="inlineStr" s="5">
        <is>
          <t xml:space="preserve">64029 990 0/1</t>
        </is>
      </c>
      <c r="D15" s="18">
        <v>1</v>
      </c>
      <c r="E15" s="2">
        <v>446.00</v>
      </c>
      <c r="F15" s="2">
        <v>446.00</v>
      </c>
      <c r="G15" s="2">
        <v>3.00</v>
      </c>
      <c r="H15" s="2">
        <v>13.38</v>
      </c>
      <c r="I15" s="2">
        <v>432.62</v>
      </c>
      <c r="J15" s="2">
        <v>2.50</v>
      </c>
      <c r="K15" s="2">
        <v>10.82</v>
      </c>
      <c r="L15" s="2">
        <v>2.50</v>
      </c>
      <c r="M15" s="2">
        <v>10.82</v>
      </c>
      <c r="N15" t="inlineStr" s="5">
        <is>
          <t xml:space="preserve"/>
        </is>
      </c>
      <c r="O15" t="inlineStr" s="5">
        <is>
          <t xml:space="preserve"/>
        </is>
      </c>
      <c r="P15" s="2">
        <v>432.62</v>
      </c>
    </row>
    <row r="16">
      <c r="A16" t="inlineStr" s="5">
        <is>
          <t xml:space="preserve">11</t>
        </is>
      </c>
      <c r="B16" t="inlineStr" s="5">
        <is>
          <t xml:space="preserve">S11500-Stimulus-Ladies-PU-4X8 MRP: 579.00</t>
        </is>
      </c>
      <c r="C16" t="inlineStr" s="5">
        <is>
          <t xml:space="preserve">64029 990</t>
        </is>
      </c>
      <c r="D16" s="18">
        <v>1</v>
      </c>
      <c r="E16" s="2">
        <v>358.41</v>
      </c>
      <c r="F16" s="2">
        <v>358.41</v>
      </c>
      <c r="G16" s="2">
        <v>3.00</v>
      </c>
      <c r="H16" s="2">
        <v>10.75</v>
      </c>
      <c r="I16" s="2">
        <v>347.66</v>
      </c>
      <c r="J16" s="2">
        <v>2.50</v>
      </c>
      <c r="K16" s="2">
        <v>8.69</v>
      </c>
      <c r="L16" s="2">
        <v>2.50</v>
      </c>
      <c r="M16" s="2">
        <v>8.69</v>
      </c>
      <c r="N16" s="12">
        <v>36.95</v>
      </c>
      <c r="O16" t="inlineStr" s="14">
        <is>
          <t xml:space="preserve"/>
        </is>
      </c>
      <c r="P16" s="2">
        <f>IF(O16="",347.66,ROUND(ROUND(579.00*(100-O16)/(100+5),2)*1,2))</f>
        <v>347.66</v>
      </c>
    </row>
    <row r="17">
      <c r="B17" t="inlineStr" s="16">
        <is>
          <t xml:space="preserve">Total</t>
        </is>
      </c>
      <c r="D17" t="inlineStr" s="16">
        <is>
          <t xml:space="preserve">134 pairs</t>
        </is>
      </c>
      <c r="I17" s="15">
        <v>24760.53</v>
      </c>
      <c r="N17" s="12">
        <v>32.83</v>
      </c>
      <c r="P17" s="15">
        <f>SUM(P6:P16)</f>
        <v>24760.53</v>
      </c>
    </row>
    <row r="18">
      <c r="B18" t="inlineStr" s="16">
        <is>
          <t xml:space="preserve">GST (CGST 619.02 + SGST 619.02)</t>
        </is>
      </c>
      <c r="I18" s="15">
        <v>1238.04</v>
      </c>
      <c r="P18" s="15">
        <f>ROUND((P6+P7+P8+P9+P10+P11+P12+P13+P14+P16)*5/100,2)+21.64</f>
        <v>1238.04</v>
      </c>
    </row>
    <row r="19">
      <c r="B19" t="inlineStr" s="16">
        <is>
          <t xml:space="preserve">Grand Total (printed on bill)</t>
        </is>
      </c>
      <c r="I19" s="15">
        <v>26012.00</v>
      </c>
      <c r="O19" t="inlineStr" s="16">
        <is>
          <t xml:space="preserve">नया Total →</t>
        </is>
      </c>
      <c r="P19" s="15">
        <f>ROUND(P17+P18,0)</f>
        <v>25999.00</v>
      </c>
    </row>
    <row r="20">
      <c r="B20" t="inlineStr" s="16">
        <is>
          <t xml:space="preserve">Printed total − calculated = ₹13.43 — check the bill</t>
        </is>
      </c>
      <c r="I20" s="8">
        <v>13.43</v>
      </c>
    </row>
    <row r="21"/>
    <row r="22">
      <c r="B22" t="inlineStr" s="16">
        <is>
          <t xml:space="preserve">कंपनी-वार</t>
        </is>
      </c>
      <c r="N22" t="inlineStr" s="11">
        <is>
          <t xml:space="preserve">बैठा % (उन्होंने MRP पर असल कितना दिया)</t>
        </is>
      </c>
      <c r="O22" t="inlineStr" s="10">
        <is>
          <t xml:space="preserve">अपना % (बदल सकते हैं)</t>
        </is>
      </c>
      <c r="P22" t="inlineStr" s="1">
        <is>
          <t xml:space="preserve">नई रकम</t>
        </is>
      </c>
    </row>
    <row r="23">
      <c r="B23" t="inlineStr" s="16">
        <is>
          <t xml:space="preserve">PARALITE (5 lines · 96 pairs)</t>
        </is>
      </c>
      <c r="I23" s="15">
        <v>12757.09</v>
      </c>
      <c r="N23" s="12">
        <v>29.15</v>
      </c>
      <c r="O23" t="inlineStr" s="5">
        <is>
          <t xml:space="preserve"/>
        </is>
      </c>
      <c r="P23" t="inlineStr" s="5">
        <is>
          <t xml:space="preserve"/>
        </is>
      </c>
    </row>
    <row r="24">
      <c r="B24" t="inlineStr" s="16">
        <is>
          <t xml:space="preserve">EEKEN (3 lines · 25 pairs)</t>
        </is>
      </c>
      <c r="I24" s="15">
        <v>9224.22</v>
      </c>
      <c r="N24" s="12">
        <v>37.44</v>
      </c>
      <c r="O24" t="inlineStr" s="5">
        <is>
          <t xml:space="preserve"/>
        </is>
      </c>
      <c r="P24" t="inlineStr" s="5">
        <is>
          <t xml:space="preserve"/>
        </is>
      </c>
    </row>
    <row r="25">
      <c r="B25" t="inlineStr" s="16">
        <is>
          <t xml:space="preserve">VERTEX (1 lines · 12 pairs)</t>
        </is>
      </c>
      <c r="I25" s="15">
        <v>1998.94</v>
      </c>
      <c r="N25" s="12">
        <v>31.41</v>
      </c>
      <c r="O25" t="inlineStr" s="5">
        <is>
          <t xml:space="preserve"/>
        </is>
      </c>
      <c r="P25" t="inlineStr" s="5">
        <is>
          <t xml:space="preserve"/>
        </is>
      </c>
    </row>
    <row r="26">
      <c r="B26" t="inlineStr" s="16">
        <is>
          <t xml:space="preserve">STIMULUS (1 lines · 1 pairs)</t>
        </is>
      </c>
      <c r="I26" s="15">
        <v>347.66</v>
      </c>
      <c r="N26" s="12">
        <v>36.95</v>
      </c>
      <c r="O26" t="inlineStr" s="5">
        <is>
          <t xml:space="preserve"/>
        </is>
      </c>
      <c r="P26" t="inlineStr" s="5">
        <is>
          <t xml:space="preserve"/>
        </is>
      </c>
    </row>
  </sheetData>
  <autoFilter ref="A5:P26"/>
  <pageMargins left="0.4" right="0.4" top="0.5" bottom="0.5" header="0.3" footer="0.3"/>
  <pageSetup orientation="landscape" paperSize="9" fitToWidth="1" fitToHeight="0"/>
</worksheet>
</file>