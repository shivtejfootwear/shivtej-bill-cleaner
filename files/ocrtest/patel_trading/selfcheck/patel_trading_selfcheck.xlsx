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%'!$A$5:$O$50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1.0" customWidth="1"/>
    <col min="12" max="12" width="11.0" customWidth="1"/>
    <col min="13" max="13" width="14.0" customWidth="1"/>
    <col min="14" max="14" width="13.0" customWidth="1"/>
    <col min="15" max="15" width="16.0" customWidth="1"/>
  </cols>
  <sheetData>
    <row r="1">
      <c r="A1" t="inlineStr" s="7">
        <is>
          <t xml:space="preserve">PATEL TRADING CORPORATION — Invoice 26-27/ALT-496 — 29-Sep-2026</t>
        </is>
      </c>
    </row>
    <row r="2">
      <c r="A2" t="inlineStr" s="0">
        <is>
          <t xml:space="preserve">Buyer: Shivtej Footwear Akluj   ·   Supplier GSTIN: 27ABWPP2432J1Z5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Sr. No.</t>
        </is>
      </c>
      <c r="B5" t="inlineStr" s="1">
        <is>
          <t xml:space="preserve">Description of Goods/ Services</t>
        </is>
      </c>
      <c r="C5" t="inlineStr" s="1">
        <is>
          <t xml:space="preserve">HSN/ SAC</t>
        </is>
      </c>
      <c r="D5" t="inlineStr" s="1">
        <is>
          <t xml:space="preserve">Quantity</t>
        </is>
      </c>
      <c r="E5" t="inlineStr" s="1">
        <is>
          <t xml:space="preserve">MRP</t>
        </is>
      </c>
      <c r="F5" t="inlineStr" s="1">
        <is>
          <t xml:space="preserve">Rate</t>
        </is>
      </c>
      <c r="G5" t="inlineStr" s="1">
        <is>
          <t xml:space="preserve">Net Rate</t>
        </is>
      </c>
      <c r="H5" t="inlineStr" s="10">
        <is>
          <t xml:space="preserve">Disc (per)</t>
        </is>
      </c>
      <c r="I5" t="inlineStr" s="1">
        <is>
          <t xml:space="preserve">Disc. (%)</t>
        </is>
      </c>
      <c r="J5" t="inlineStr" s="1">
        <is>
          <t xml:space="preserve">Disc. Amt.</t>
        </is>
      </c>
      <c r="K5" t="inlineStr" s="1">
        <is>
          <t xml:space="preserve">GST</t>
        </is>
      </c>
      <c r="L5" t="inlineStr" s="1">
        <is>
          <t xml:space="preserve">Amount</t>
        </is>
      </c>
      <c r="M5" t="inlineStr" s="11">
        <is>
          <t xml:space="preserve">बैठा % (उन्होंने MRP पर असल कितना दिया)</t>
        </is>
      </c>
      <c r="N5" t="inlineStr" s="10">
        <is>
          <t xml:space="preserve">अपना % (बदल सकते हैं)</t>
        </is>
      </c>
      <c r="O5" t="inlineStr" s="1">
        <is>
          <t xml:space="preserve">नई रकम (अपने % से, GST सहित — बिल जैसी)</t>
        </is>
      </c>
    </row>
    <row r="6">
      <c r="A6" t="inlineStr" s="5">
        <is>
          <t xml:space="preserve">1</t>
        </is>
      </c>
      <c r="B6" t="inlineStr" s="5">
        <is>
          <t xml:space="preserve">Primo Basket Ball S Grn 5/7</t>
        </is>
      </c>
      <c r="C6" t="inlineStr" s="5">
        <is>
          <t xml:space="preserve">64041920</t>
        </is>
      </c>
      <c r="D6" t="inlineStr" s="5">
        <is>
          <t xml:space="preserve">6 Pairs</t>
        </is>
      </c>
      <c r="E6" s="2">
        <v>0.00</v>
      </c>
      <c r="F6" s="2">
        <v>107.00</v>
      </c>
      <c r="G6" s="2">
        <v>101.90</v>
      </c>
      <c r="H6" t="inlineStr" s="6">
        <is>
          <t xml:space="preserve"/>
        </is>
      </c>
      <c r="I6" t="inlineStr" s="5">
        <is>
          <t xml:space="preserve"/>
        </is>
      </c>
      <c r="J6" t="inlineStr" s="5">
        <is>
          <t xml:space="preserve"/>
        </is>
      </c>
      <c r="K6" t="inlineStr" s="5">
        <is>
          <t xml:space="preserve">5%</t>
        </is>
      </c>
      <c r="L6" s="2">
        <v>642.00</v>
      </c>
      <c r="M6" t="inlineStr" s="5">
        <is>
          <t xml:space="preserve">MRP नहीं (रेट वाला)</t>
        </is>
      </c>
      <c r="N6" t="inlineStr" s="5">
        <is>
          <t xml:space="preserve"/>
        </is>
      </c>
      <c r="O6" s="2">
        <v>642.00</v>
      </c>
    </row>
    <row r="7">
      <c r="A7" t="inlineStr" s="5">
        <is>
          <t xml:space="preserve">2</t>
        </is>
      </c>
      <c r="B7" t="inlineStr" s="5">
        <is>
          <t xml:space="preserve">Primo Goal Bk Red 5/7</t>
        </is>
      </c>
      <c r="C7" t="inlineStr" s="5">
        <is>
          <t xml:space="preserve">64041920</t>
        </is>
      </c>
      <c r="D7" t="inlineStr" s="5">
        <is>
          <t xml:space="preserve">6 Pairs</t>
        </is>
      </c>
      <c r="E7" s="2">
        <v>0.00</v>
      </c>
      <c r="F7" s="2">
        <v>107.00</v>
      </c>
      <c r="G7" s="2">
        <v>101.90</v>
      </c>
      <c r="H7" t="inlineStr" s="6">
        <is>
          <t xml:space="preserve"/>
        </is>
      </c>
      <c r="I7" t="inlineStr" s="5">
        <is>
          <t xml:space="preserve"/>
        </is>
      </c>
      <c r="J7" t="inlineStr" s="5">
        <is>
          <t xml:space="preserve"/>
        </is>
      </c>
      <c r="K7" t="inlineStr" s="5">
        <is>
          <t xml:space="preserve">5%</t>
        </is>
      </c>
      <c r="L7" s="2">
        <v>642.00</v>
      </c>
      <c r="M7" t="inlineStr" s="5">
        <is>
          <t xml:space="preserve">MRP नहीं (रेट वाला)</t>
        </is>
      </c>
      <c r="N7" t="inlineStr" s="5">
        <is>
          <t xml:space="preserve"/>
        </is>
      </c>
      <c r="O7" s="2">
        <v>642.00</v>
      </c>
    </row>
    <row r="8">
      <c r="A8" t="inlineStr" s="5">
        <is>
          <t xml:space="preserve">3</t>
        </is>
      </c>
      <c r="B8" t="inlineStr" s="5">
        <is>
          <t xml:space="preserve">Primo Wildlife 8/10</t>
        </is>
      </c>
      <c r="C8" t="inlineStr" s="5">
        <is>
          <t xml:space="preserve">64041920</t>
        </is>
      </c>
      <c r="D8" t="inlineStr" s="5">
        <is>
          <t xml:space="preserve">6 Pairs</t>
        </is>
      </c>
      <c r="E8" s="2">
        <v>0.00</v>
      </c>
      <c r="F8" s="2">
        <v>112.00</v>
      </c>
      <c r="G8" s="2">
        <v>106.67</v>
      </c>
      <c r="H8" t="inlineStr" s="6">
        <is>
          <t xml:space="preserve"/>
        </is>
      </c>
      <c r="I8" t="inlineStr" s="5">
        <is>
          <t xml:space="preserve"/>
        </is>
      </c>
      <c r="J8" t="inlineStr" s="5">
        <is>
          <t xml:space="preserve"/>
        </is>
      </c>
      <c r="K8" t="inlineStr" s="5">
        <is>
          <t xml:space="preserve">5%</t>
        </is>
      </c>
      <c r="L8" s="2">
        <v>672.00</v>
      </c>
      <c r="M8" t="inlineStr" s="5">
        <is>
          <t xml:space="preserve">MRP नहीं (रेट वाला)</t>
        </is>
      </c>
      <c r="N8" t="inlineStr" s="5">
        <is>
          <t xml:space="preserve"/>
        </is>
      </c>
      <c r="O8" s="2">
        <v>672.00</v>
      </c>
    </row>
    <row r="9">
      <c r="A9" t="inlineStr" s="5">
        <is>
          <t xml:space="preserve">4</t>
        </is>
      </c>
      <c r="B9" t="inlineStr" s="5">
        <is>
          <t xml:space="preserve">Primo Basket Ball S Grn 8/10</t>
        </is>
      </c>
      <c r="C9" t="inlineStr" s="5">
        <is>
          <t xml:space="preserve">64041920</t>
        </is>
      </c>
      <c r="D9" t="inlineStr" s="5">
        <is>
          <t xml:space="preserve">6 Pairs</t>
        </is>
      </c>
      <c r="E9" s="2">
        <v>0.00</v>
      </c>
      <c r="F9" s="2">
        <v>112.00</v>
      </c>
      <c r="G9" s="2">
        <v>106.67</v>
      </c>
      <c r="H9" t="inlineStr" s="6">
        <is>
          <t xml:space="preserve"/>
        </is>
      </c>
      <c r="I9" t="inlineStr" s="5">
        <is>
          <t xml:space="preserve"/>
        </is>
      </c>
      <c r="J9" t="inlineStr" s="5">
        <is>
          <t xml:space="preserve"/>
        </is>
      </c>
      <c r="K9" t="inlineStr" s="5">
        <is>
          <t xml:space="preserve">5%</t>
        </is>
      </c>
      <c r="L9" s="2">
        <v>672.00</v>
      </c>
      <c r="M9" t="inlineStr" s="5">
        <is>
          <t xml:space="preserve">MRP नहीं (रेट वाला)</t>
        </is>
      </c>
      <c r="N9" t="inlineStr" s="5">
        <is>
          <t xml:space="preserve"/>
        </is>
      </c>
      <c r="O9" s="2">
        <v>672.00</v>
      </c>
    </row>
    <row r="10">
      <c r="A10" t="inlineStr" s="5">
        <is>
          <t xml:space="preserve">5</t>
        </is>
      </c>
      <c r="B10" t="inlineStr" s="5">
        <is>
          <t xml:space="preserve">Blibers Jordy Hike Gry Rd 7I11</t>
        </is>
      </c>
      <c r="C10" t="inlineStr" s="5">
        <is>
          <t xml:space="preserve">64041920</t>
        </is>
      </c>
      <c r="D10" t="inlineStr" s="5">
        <is>
          <t xml:space="preserve">6 Pairs</t>
        </is>
      </c>
      <c r="E10" s="2">
        <v>0.00</v>
      </c>
      <c r="F10" s="2">
        <v>194.00</v>
      </c>
      <c r="G10" s="2">
        <v>184.76</v>
      </c>
      <c r="H10" t="inlineStr" s="6">
        <is>
          <t xml:space="preserve"/>
        </is>
      </c>
      <c r="I10" t="inlineStr" s="5">
        <is>
          <t xml:space="preserve"/>
        </is>
      </c>
      <c r="J10" t="inlineStr" s="5">
        <is>
          <t xml:space="preserve"/>
        </is>
      </c>
      <c r="K10" t="inlineStr" s="5">
        <is>
          <t xml:space="preserve">5%</t>
        </is>
      </c>
      <c r="L10" s="2">
        <v>1164.00</v>
      </c>
      <c r="M10" t="inlineStr" s="5">
        <is>
          <t xml:space="preserve">MRP नहीं (रेट वाला)</t>
        </is>
      </c>
      <c r="N10" t="inlineStr" s="5">
        <is>
          <t xml:space="preserve"/>
        </is>
      </c>
      <c r="O10" s="2">
        <v>1164.00</v>
      </c>
    </row>
    <row r="11">
      <c r="A11" t="inlineStr" s="5">
        <is>
          <t xml:space="preserve">6</t>
        </is>
      </c>
      <c r="B11" t="inlineStr" s="5">
        <is>
          <t xml:space="preserve">Kiero Ninja 15 Onion 5/8</t>
        </is>
      </c>
      <c r="C11" t="inlineStr" s="5">
        <is>
          <t xml:space="preserve">64041920</t>
        </is>
      </c>
      <c r="D11" t="inlineStr" s="5">
        <is>
          <t xml:space="preserve">6 Pairs</t>
        </is>
      </c>
      <c r="E11" s="2">
        <v>0.00</v>
      </c>
      <c r="F11" s="2">
        <v>165.00</v>
      </c>
      <c r="G11" s="2">
        <v>157.14</v>
      </c>
      <c r="H11" t="inlineStr" s="6">
        <is>
          <t xml:space="preserve"/>
        </is>
      </c>
      <c r="I11" t="inlineStr" s="5">
        <is>
          <t xml:space="preserve"/>
        </is>
      </c>
      <c r="J11" t="inlineStr" s="5">
        <is>
          <t xml:space="preserve"/>
        </is>
      </c>
      <c r="K11" t="inlineStr" s="5">
        <is>
          <t xml:space="preserve">5%</t>
        </is>
      </c>
      <c r="L11" s="2">
        <v>990.00</v>
      </c>
      <c r="M11" t="inlineStr" s="5">
        <is>
          <t xml:space="preserve">MRP नहीं (रेट वाला)</t>
        </is>
      </c>
      <c r="N11" t="inlineStr" s="5">
        <is>
          <t xml:space="preserve"/>
        </is>
      </c>
      <c r="O11" s="2">
        <v>990.00</v>
      </c>
    </row>
    <row r="12">
      <c r="A12" t="inlineStr" s="5">
        <is>
          <t xml:space="preserve">7</t>
        </is>
      </c>
      <c r="B12" t="inlineStr" s="5">
        <is>
          <t xml:space="preserve">Kiero Ninja 26 BK 7/10</t>
        </is>
      </c>
      <c r="C12" t="inlineStr" s="5">
        <is>
          <t xml:space="preserve">64041920</t>
        </is>
      </c>
      <c r="D12" t="inlineStr" s="5">
        <is>
          <t xml:space="preserve">6 Pairs</t>
        </is>
      </c>
      <c r="E12" s="2">
        <v>0.00</v>
      </c>
      <c r="F12" s="2">
        <v>165.00</v>
      </c>
      <c r="G12" s="2">
        <v>157.14</v>
      </c>
      <c r="H12" t="inlineStr" s="6">
        <is>
          <t xml:space="preserve"/>
        </is>
      </c>
      <c r="I12" t="inlineStr" s="5">
        <is>
          <t xml:space="preserve"/>
        </is>
      </c>
      <c r="J12" t="inlineStr" s="5">
        <is>
          <t xml:space="preserve"/>
        </is>
      </c>
      <c r="K12" t="inlineStr" s="5">
        <is>
          <t xml:space="preserve">5%</t>
        </is>
      </c>
      <c r="L12" s="2">
        <v>990.00</v>
      </c>
      <c r="M12" t="inlineStr" s="5">
        <is>
          <t xml:space="preserve">MRP नहीं (रेट वाला)</t>
        </is>
      </c>
      <c r="N12" t="inlineStr" s="5">
        <is>
          <t xml:space="preserve"/>
        </is>
      </c>
      <c r="O12" s="2">
        <v>990.00</v>
      </c>
    </row>
    <row r="13">
      <c r="A13" t="inlineStr" s="5">
        <is>
          <t xml:space="preserve">8</t>
        </is>
      </c>
      <c r="B13" t="inlineStr" s="5">
        <is>
          <t xml:space="preserve">Binny Saniya Br 11- 9/10</t>
        </is>
      </c>
      <c r="C13" t="inlineStr" s="5">
        <is>
          <t xml:space="preserve">64041920</t>
        </is>
      </c>
      <c r="D13" t="inlineStr" s="5">
        <is>
          <t xml:space="preserve">24 Pairs</t>
        </is>
      </c>
      <c r="E13" s="2">
        <v>0.00</v>
      </c>
      <c r="F13" s="2">
        <v>116.00</v>
      </c>
      <c r="G13" s="2">
        <v>110.48</v>
      </c>
      <c r="H13" t="inlineStr" s="6">
        <is>
          <t xml:space="preserve"/>
        </is>
      </c>
      <c r="I13" t="inlineStr" s="5">
        <is>
          <t xml:space="preserve"/>
        </is>
      </c>
      <c r="J13" t="inlineStr" s="5">
        <is>
          <t xml:space="preserve"/>
        </is>
      </c>
      <c r="K13" t="inlineStr" s="5">
        <is>
          <t xml:space="preserve">5%</t>
        </is>
      </c>
      <c r="L13" s="2">
        <v>2784.00</v>
      </c>
      <c r="M13" t="inlineStr" s="5">
        <is>
          <t xml:space="preserve">MRP नहीं (रेट वाला)</t>
        </is>
      </c>
      <c r="N13" t="inlineStr" s="5">
        <is>
          <t xml:space="preserve"/>
        </is>
      </c>
      <c r="O13" s="2">
        <v>2784.00</v>
      </c>
    </row>
    <row r="14">
      <c r="A14" t="inlineStr" s="5">
        <is>
          <t xml:space="preserve">9</t>
        </is>
      </c>
      <c r="B14" t="inlineStr" s="5">
        <is>
          <t xml:space="preserve">Loose Indus Health Mix 7I10</t>
        </is>
      </c>
      <c r="C14" t="inlineStr" s="5">
        <is>
          <t xml:space="preserve">64041920</t>
        </is>
      </c>
      <c r="D14" t="inlineStr" s="5">
        <is>
          <t xml:space="preserve">24 Pairs</t>
        </is>
      </c>
      <c r="E14" s="2">
        <v>0.00</v>
      </c>
      <c r="F14" s="2">
        <v>75.00</v>
      </c>
      <c r="G14" s="2">
        <v>71.43</v>
      </c>
      <c r="H14" t="inlineStr" s="6">
        <is>
          <t xml:space="preserve"/>
        </is>
      </c>
      <c r="I14" t="inlineStr" s="5">
        <is>
          <t xml:space="preserve"/>
        </is>
      </c>
      <c r="J14" t="inlineStr" s="5">
        <is>
          <t xml:space="preserve"/>
        </is>
      </c>
      <c r="K14" t="inlineStr" s="5">
        <is>
          <t xml:space="preserve">5%</t>
        </is>
      </c>
      <c r="L14" s="2">
        <v>1800.00</v>
      </c>
      <c r="M14" t="inlineStr" s="5">
        <is>
          <t xml:space="preserve">MRP नहीं (रेट वाला)</t>
        </is>
      </c>
      <c r="N14" t="inlineStr" s="5">
        <is>
          <t xml:space="preserve"/>
        </is>
      </c>
      <c r="O14" s="2">
        <v>1800.00</v>
      </c>
    </row>
    <row r="15">
      <c r="A15" t="inlineStr" s="5">
        <is>
          <t xml:space="preserve">10</t>
        </is>
      </c>
      <c r="B15" t="inlineStr" s="5">
        <is>
          <t xml:space="preserve">Binny Dolphin 103 Bk 6/9</t>
        </is>
      </c>
      <c r="C15" t="inlineStr" s="5">
        <is>
          <t xml:space="preserve">64041920</t>
        </is>
      </c>
      <c r="D15" t="inlineStr" s="5">
        <is>
          <t xml:space="preserve">36 Pairs</t>
        </is>
      </c>
      <c r="E15" s="2">
        <v>0.00</v>
      </c>
      <c r="F15" s="2">
        <v>137.00</v>
      </c>
      <c r="G15" s="2">
        <v>130.48</v>
      </c>
      <c r="H15" t="inlineStr" s="6">
        <is>
          <t xml:space="preserve"/>
        </is>
      </c>
      <c r="I15" t="inlineStr" s="5">
        <is>
          <t xml:space="preserve"/>
        </is>
      </c>
      <c r="J15" t="inlineStr" s="5">
        <is>
          <t xml:space="preserve"/>
        </is>
      </c>
      <c r="K15" t="inlineStr" s="5">
        <is>
          <t xml:space="preserve">5%</t>
        </is>
      </c>
      <c r="L15" s="2">
        <v>4932.00</v>
      </c>
      <c r="M15" t="inlineStr" s="5">
        <is>
          <t xml:space="preserve">MRP नहीं (रेट वाला)</t>
        </is>
      </c>
      <c r="N15" t="inlineStr" s="5">
        <is>
          <t xml:space="preserve"/>
        </is>
      </c>
      <c r="O15" s="2">
        <v>4932.00</v>
      </c>
    </row>
    <row r="16">
      <c r="A16" t="inlineStr" s="5">
        <is>
          <t xml:space="preserve">11</t>
        </is>
      </c>
      <c r="B16" t="inlineStr" s="5">
        <is>
          <t xml:space="preserve">Binny Pl 154 Gry 5/8</t>
        </is>
      </c>
      <c r="C16" t="inlineStr" s="5">
        <is>
          <t xml:space="preserve">64041920</t>
        </is>
      </c>
      <c r="D16" t="inlineStr" s="5">
        <is>
          <t xml:space="preserve">6 Pairs</t>
        </is>
      </c>
      <c r="E16" s="2">
        <v>0.00</v>
      </c>
      <c r="F16" s="2">
        <v>140.00</v>
      </c>
      <c r="G16" s="2">
        <v>133.33</v>
      </c>
      <c r="H16" t="inlineStr" s="6">
        <is>
          <t xml:space="preserve"/>
        </is>
      </c>
      <c r="I16" t="inlineStr" s="5">
        <is>
          <t xml:space="preserve"/>
        </is>
      </c>
      <c r="J16" t="inlineStr" s="5">
        <is>
          <t xml:space="preserve"/>
        </is>
      </c>
      <c r="K16" t="inlineStr" s="5">
        <is>
          <t xml:space="preserve">5%</t>
        </is>
      </c>
      <c r="L16" s="2">
        <v>840.00</v>
      </c>
      <c r="M16" t="inlineStr" s="5">
        <is>
          <t xml:space="preserve">MRP नहीं (रेट वाला)</t>
        </is>
      </c>
      <c r="N16" t="inlineStr" s="5">
        <is>
          <t xml:space="preserve"/>
        </is>
      </c>
      <c r="O16" s="2">
        <v>840.00</v>
      </c>
    </row>
    <row r="17">
      <c r="A17" t="inlineStr" s="5">
        <is>
          <t xml:space="preserve">12</t>
        </is>
      </c>
      <c r="B17" t="inlineStr" s="5">
        <is>
          <t xml:space="preserve">BINNY PL 167 Gry 6/8</t>
        </is>
      </c>
      <c r="C17" t="inlineStr" s="5">
        <is>
          <t xml:space="preserve">64041920</t>
        </is>
      </c>
      <c r="D17" t="inlineStr" s="5">
        <is>
          <t xml:space="preserve">6 Pairs</t>
        </is>
      </c>
      <c r="E17" s="2">
        <v>0.00</v>
      </c>
      <c r="F17" s="2">
        <v>140.00</v>
      </c>
      <c r="G17" s="2">
        <v>133.33</v>
      </c>
      <c r="H17" t="inlineStr" s="6">
        <is>
          <t xml:space="preserve"/>
        </is>
      </c>
      <c r="I17" t="inlineStr" s="5">
        <is>
          <t xml:space="preserve"/>
        </is>
      </c>
      <c r="J17" t="inlineStr" s="5">
        <is>
          <t xml:space="preserve"/>
        </is>
      </c>
      <c r="K17" t="inlineStr" s="5">
        <is>
          <t xml:space="preserve">5%</t>
        </is>
      </c>
      <c r="L17" s="2">
        <v>840.00</v>
      </c>
      <c r="M17" t="inlineStr" s="5">
        <is>
          <t xml:space="preserve">MRP नहीं (रेट वाला)</t>
        </is>
      </c>
      <c r="N17" t="inlineStr" s="5">
        <is>
          <t xml:space="preserve"/>
        </is>
      </c>
      <c r="O17" s="2">
        <v>840.00</v>
      </c>
    </row>
    <row r="18">
      <c r="A18" t="inlineStr" s="5">
        <is>
          <t xml:space="preserve">13</t>
        </is>
      </c>
      <c r="B18" t="inlineStr" s="5">
        <is>
          <t xml:space="preserve">BINNY PL 167 Bk 5/8</t>
        </is>
      </c>
      <c r="C18" t="inlineStr" s="5">
        <is>
          <t xml:space="preserve">64041920</t>
        </is>
      </c>
      <c r="D18" t="inlineStr" s="5">
        <is>
          <t xml:space="preserve">6 Pairs</t>
        </is>
      </c>
      <c r="E18" s="2">
        <v>0.00</v>
      </c>
      <c r="F18" s="2">
        <v>140.00</v>
      </c>
      <c r="G18" s="2">
        <v>133.33</v>
      </c>
      <c r="H18" t="inlineStr" s="6">
        <is>
          <t xml:space="preserve"/>
        </is>
      </c>
      <c r="I18" t="inlineStr" s="5">
        <is>
          <t xml:space="preserve"/>
        </is>
      </c>
      <c r="J18" t="inlineStr" s="5">
        <is>
          <t xml:space="preserve"/>
        </is>
      </c>
      <c r="K18" t="inlineStr" s="5">
        <is>
          <t xml:space="preserve">5%</t>
        </is>
      </c>
      <c r="L18" s="2">
        <v>840.00</v>
      </c>
      <c r="M18" t="inlineStr" s="5">
        <is>
          <t xml:space="preserve">MRP नहीं (रेट वाला)</t>
        </is>
      </c>
      <c r="N18" t="inlineStr" s="5">
        <is>
          <t xml:space="preserve"/>
        </is>
      </c>
      <c r="O18" s="2">
        <v>840.00</v>
      </c>
    </row>
    <row r="19">
      <c r="A19" t="inlineStr" s="5">
        <is>
          <t xml:space="preserve">14</t>
        </is>
      </c>
      <c r="B19" t="inlineStr" s="5">
        <is>
          <t xml:space="preserve">BINNY GB 21 BR 7/10</t>
        </is>
      </c>
      <c r="C19" t="inlineStr" s="5">
        <is>
          <t xml:space="preserve">64041920</t>
        </is>
      </c>
      <c r="D19" t="inlineStr" s="5">
        <is>
          <t xml:space="preserve">6 Pairs</t>
        </is>
      </c>
      <c r="E19" s="2">
        <v>0.00</v>
      </c>
      <c r="F19" s="2">
        <v>200.00</v>
      </c>
      <c r="G19" s="2">
        <v>190.48</v>
      </c>
      <c r="H19" t="inlineStr" s="6">
        <is>
          <t xml:space="preserve"/>
        </is>
      </c>
      <c r="I19" t="inlineStr" s="5">
        <is>
          <t xml:space="preserve"/>
        </is>
      </c>
      <c r="J19" t="inlineStr" s="5">
        <is>
          <t xml:space="preserve"/>
        </is>
      </c>
      <c r="K19" t="inlineStr" s="5">
        <is>
          <t xml:space="preserve">5%</t>
        </is>
      </c>
      <c r="L19" s="2">
        <v>1200.00</v>
      </c>
      <c r="M19" t="inlineStr" s="5">
        <is>
          <t xml:space="preserve">MRP नहीं (रेट वाला)</t>
        </is>
      </c>
      <c r="N19" t="inlineStr" s="5">
        <is>
          <t xml:space="preserve"/>
        </is>
      </c>
      <c r="O19" s="2">
        <v>1200.00</v>
      </c>
    </row>
    <row r="20">
      <c r="A20" t="inlineStr" s="5">
        <is>
          <t xml:space="preserve">15</t>
        </is>
      </c>
      <c r="B20" t="inlineStr" s="5">
        <is>
          <t xml:space="preserve">BINNY GB 21 BK 7/10</t>
        </is>
      </c>
      <c r="C20" t="inlineStr" s="5">
        <is>
          <t xml:space="preserve">64041920</t>
        </is>
      </c>
      <c r="D20" t="inlineStr" s="5">
        <is>
          <t xml:space="preserve">12 Pairs</t>
        </is>
      </c>
      <c r="E20" s="2">
        <v>0.00</v>
      </c>
      <c r="F20" s="2">
        <v>200.00</v>
      </c>
      <c r="G20" s="2">
        <v>190.48</v>
      </c>
      <c r="H20" t="inlineStr" s="6">
        <is>
          <t xml:space="preserve"/>
        </is>
      </c>
      <c r="I20" t="inlineStr" s="5">
        <is>
          <t xml:space="preserve"/>
        </is>
      </c>
      <c r="J20" t="inlineStr" s="5">
        <is>
          <t xml:space="preserve"/>
        </is>
      </c>
      <c r="K20" t="inlineStr" s="5">
        <is>
          <t xml:space="preserve">5%</t>
        </is>
      </c>
      <c r="L20" s="2">
        <v>2400.00</v>
      </c>
      <c r="M20" t="inlineStr" s="5">
        <is>
          <t xml:space="preserve">MRP नहीं (रेट वाला)</t>
        </is>
      </c>
      <c r="N20" t="inlineStr" s="5">
        <is>
          <t xml:space="preserve"/>
        </is>
      </c>
      <c r="O20" s="2">
        <v>2400.00</v>
      </c>
    </row>
    <row r="21">
      <c r="A21" t="inlineStr" s="5">
        <is>
          <t xml:space="preserve">16</t>
        </is>
      </c>
      <c r="B21" t="inlineStr" s="5">
        <is>
          <t xml:space="preserve">BINNY MONIKA BR 113</t>
        </is>
      </c>
      <c r="C21" t="inlineStr" s="5">
        <is>
          <t xml:space="preserve">64041920</t>
        </is>
      </c>
      <c r="D21" t="inlineStr" s="5">
        <is>
          <t xml:space="preserve">6 Pairs</t>
        </is>
      </c>
      <c r="E21" s="2">
        <v>0.00</v>
      </c>
      <c r="F21" s="2">
        <v>98.00</v>
      </c>
      <c r="G21" s="2">
        <v>93.33</v>
      </c>
      <c r="H21" t="inlineStr" s="6">
        <is>
          <t xml:space="preserve"/>
        </is>
      </c>
      <c r="I21" t="inlineStr" s="5">
        <is>
          <t xml:space="preserve"/>
        </is>
      </c>
      <c r="J21" t="inlineStr" s="5">
        <is>
          <t xml:space="preserve"/>
        </is>
      </c>
      <c r="K21" t="inlineStr" s="5">
        <is>
          <t xml:space="preserve">5%</t>
        </is>
      </c>
      <c r="L21" s="2">
        <v>588.00</v>
      </c>
      <c r="M21" t="inlineStr" s="5">
        <is>
          <t xml:space="preserve">MRP नहीं (रेट वाला)</t>
        </is>
      </c>
      <c r="N21" t="inlineStr" s="5">
        <is>
          <t xml:space="preserve"/>
        </is>
      </c>
      <c r="O21" s="2">
        <v>588.00</v>
      </c>
    </row>
    <row r="22">
      <c r="A22" t="inlineStr" s="5">
        <is>
          <t xml:space="preserve">17</t>
        </is>
      </c>
      <c r="B22" t="inlineStr" s="5">
        <is>
          <t xml:space="preserve">Indus 6909 Bk 5/8</t>
        </is>
      </c>
      <c r="C22" t="inlineStr" s="5">
        <is>
          <t xml:space="preserve">64041920</t>
        </is>
      </c>
      <c r="D22" t="inlineStr" s="5">
        <is>
          <t xml:space="preserve">6 Pairs</t>
        </is>
      </c>
      <c r="E22" s="2">
        <v>229.00</v>
      </c>
      <c r="F22" s="2">
        <v>144.00</v>
      </c>
      <c r="G22" s="2">
        <v>137.14</v>
      </c>
      <c r="H22" t="inlineStr" s="6">
        <is>
          <t xml:space="preserve"/>
        </is>
      </c>
      <c r="I22" t="inlineStr" s="5">
        <is>
          <t xml:space="preserve"/>
        </is>
      </c>
      <c r="J22" t="inlineStr" s="5">
        <is>
          <t xml:space="preserve"/>
        </is>
      </c>
      <c r="K22" t="inlineStr" s="5">
        <is>
          <t xml:space="preserve">5%</t>
        </is>
      </c>
      <c r="L22" s="2">
        <v>864.00</v>
      </c>
      <c r="M22" s="12">
        <v>37.12</v>
      </c>
      <c r="N22" t="inlineStr" s="14">
        <is>
          <t xml:space="preserve"/>
        </is>
      </c>
      <c r="O22" s="2">
        <f>IF(N22="",864.00,ROUND(ROUND(229.00*(100-N22)/100,2)*6,2))</f>
        <v>864.00</v>
      </c>
    </row>
    <row r="23">
      <c r="A23" t="inlineStr" s="5">
        <is>
          <t xml:space="preserve">18</t>
        </is>
      </c>
      <c r="B23" t="inlineStr" s="5">
        <is>
          <t xml:space="preserve">Indus 11803 Bk 5/8</t>
        </is>
      </c>
      <c r="C23" t="inlineStr" s="5">
        <is>
          <t xml:space="preserve">64041920</t>
        </is>
      </c>
      <c r="D23" t="inlineStr" s="5">
        <is>
          <t xml:space="preserve">6 Pairs</t>
        </is>
      </c>
      <c r="E23" s="2">
        <v>319.00</v>
      </c>
      <c r="F23" s="2">
        <v>201.00</v>
      </c>
      <c r="G23" s="2">
        <v>191.43</v>
      </c>
      <c r="H23" t="inlineStr" s="6">
        <is>
          <t xml:space="preserve"/>
        </is>
      </c>
      <c r="I23" t="inlineStr" s="5">
        <is>
          <t xml:space="preserve"/>
        </is>
      </c>
      <c r="J23" t="inlineStr" s="5">
        <is>
          <t xml:space="preserve"/>
        </is>
      </c>
      <c r="K23" t="inlineStr" s="5">
        <is>
          <t xml:space="preserve">5%</t>
        </is>
      </c>
      <c r="L23" s="2">
        <v>1206.00</v>
      </c>
      <c r="M23" s="12">
        <v>36.99</v>
      </c>
      <c r="N23" t="inlineStr" s="14">
        <is>
          <t xml:space="preserve"/>
        </is>
      </c>
      <c r="O23" s="2">
        <f>IF(N23="",1206.00,ROUND(ROUND(319.00*(100-N23)/100,2)*6,2))</f>
        <v>1206.00</v>
      </c>
    </row>
    <row r="24">
      <c r="A24" t="inlineStr" s="5">
        <is>
          <t xml:space="preserve">19</t>
        </is>
      </c>
      <c r="B24" t="inlineStr" s="5">
        <is>
          <t xml:space="preserve">Indus 22238 BIush 5/8</t>
        </is>
      </c>
      <c r="C24" t="inlineStr" s="5">
        <is>
          <t xml:space="preserve">64041920</t>
        </is>
      </c>
      <c r="D24" t="inlineStr" s="5">
        <is>
          <t xml:space="preserve">6 Pairs</t>
        </is>
      </c>
      <c r="E24" s="2">
        <v>319.00</v>
      </c>
      <c r="F24" s="2">
        <v>201.00</v>
      </c>
      <c r="G24" s="2">
        <v>191.43</v>
      </c>
      <c r="H24" t="inlineStr" s="6">
        <is>
          <t xml:space="preserve"/>
        </is>
      </c>
      <c r="I24" t="inlineStr" s="5">
        <is>
          <t xml:space="preserve"/>
        </is>
      </c>
      <c r="J24" t="inlineStr" s="5">
        <is>
          <t xml:space="preserve"/>
        </is>
      </c>
      <c r="K24" t="inlineStr" s="5">
        <is>
          <t xml:space="preserve">5%</t>
        </is>
      </c>
      <c r="L24" s="2">
        <v>1206.00</v>
      </c>
      <c r="M24" s="12">
        <v>36.99</v>
      </c>
      <c r="N24" t="inlineStr" s="14">
        <is>
          <t xml:space="preserve"/>
        </is>
      </c>
      <c r="O24" s="2">
        <f>IF(N24="",1206.00,ROUND(ROUND(319.00*(100-N24)/100,2)*6,2))</f>
        <v>1206.00</v>
      </c>
    </row>
    <row r="25">
      <c r="A25" t="inlineStr" s="5">
        <is>
          <t xml:space="preserve">20</t>
        </is>
      </c>
      <c r="B25" t="inlineStr" s="5">
        <is>
          <t xml:space="preserve">Indus 12612 Brn 6/8</t>
        </is>
      </c>
      <c r="C25" t="inlineStr" s="5">
        <is>
          <t xml:space="preserve">64041920</t>
        </is>
      </c>
      <c r="D25" t="inlineStr" s="5">
        <is>
          <t xml:space="preserve">6 Pairs</t>
        </is>
      </c>
      <c r="E25" s="2">
        <v>359.00</v>
      </c>
      <c r="F25" s="2">
        <v>226.00</v>
      </c>
      <c r="G25" s="2">
        <v>215.24</v>
      </c>
      <c r="H25" t="inlineStr" s="6">
        <is>
          <t xml:space="preserve"/>
        </is>
      </c>
      <c r="I25" t="inlineStr" s="5">
        <is>
          <t xml:space="preserve"/>
        </is>
      </c>
      <c r="J25" t="inlineStr" s="5">
        <is>
          <t xml:space="preserve"/>
        </is>
      </c>
      <c r="K25" t="inlineStr" s="5">
        <is>
          <t xml:space="preserve">5%</t>
        </is>
      </c>
      <c r="L25" s="2">
        <v>1356.00</v>
      </c>
      <c r="M25" s="12">
        <v>37.05</v>
      </c>
      <c r="N25" t="inlineStr" s="14">
        <is>
          <t xml:space="preserve"/>
        </is>
      </c>
      <c r="O25" s="2">
        <f>IF(N25="",1356.00,ROUND(ROUND(359.00*(100-N25)/100,2)*6,2))</f>
        <v>1356.00</v>
      </c>
    </row>
    <row r="26">
      <c r="A26" t="inlineStr" s="5">
        <is>
          <t xml:space="preserve">21</t>
        </is>
      </c>
      <c r="B26" t="inlineStr" s="5">
        <is>
          <t xml:space="preserve">Indus 22239 BK 5/8</t>
        </is>
      </c>
      <c r="C26" t="inlineStr" s="5">
        <is>
          <t xml:space="preserve">64041920</t>
        </is>
      </c>
      <c r="D26" t="inlineStr" s="5">
        <is>
          <t xml:space="preserve">6 Pairs</t>
        </is>
      </c>
      <c r="E26" s="2">
        <v>329.00</v>
      </c>
      <c r="F26" s="2">
        <v>207.00</v>
      </c>
      <c r="G26" s="2">
        <v>197.14</v>
      </c>
      <c r="H26" t="inlineStr" s="6">
        <is>
          <t xml:space="preserve"/>
        </is>
      </c>
      <c r="I26" t="inlineStr" s="5">
        <is>
          <t xml:space="preserve"/>
        </is>
      </c>
      <c r="J26" t="inlineStr" s="5">
        <is>
          <t xml:space="preserve"/>
        </is>
      </c>
      <c r="K26" t="inlineStr" s="5">
        <is>
          <t xml:space="preserve">5%</t>
        </is>
      </c>
      <c r="L26" s="2">
        <v>1242.00</v>
      </c>
      <c r="M26" s="12">
        <v>37.08</v>
      </c>
      <c r="N26" t="inlineStr" s="14">
        <is>
          <t xml:space="preserve"/>
        </is>
      </c>
      <c r="O26" s="2">
        <f>IF(N26="",1242.00,ROUND(ROUND(329.00*(100-N26)/100,2)*6,2))</f>
        <v>1242.00</v>
      </c>
    </row>
    <row r="27">
      <c r="A27" t="inlineStr" s="5">
        <is>
          <t xml:space="preserve">22</t>
        </is>
      </c>
      <c r="B27" t="inlineStr" s="5">
        <is>
          <t xml:space="preserve">Indus 33645 Bg 5/8</t>
        </is>
      </c>
      <c r="C27" t="inlineStr" s="5">
        <is>
          <t xml:space="preserve">64041920</t>
        </is>
      </c>
      <c r="D27" t="inlineStr" s="5">
        <is>
          <t xml:space="preserve">6 Pairs</t>
        </is>
      </c>
      <c r="E27" s="2">
        <v>319.00</v>
      </c>
      <c r="F27" s="2">
        <v>201.00</v>
      </c>
      <c r="G27" s="2">
        <v>191.43</v>
      </c>
      <c r="H27" t="inlineStr" s="6">
        <is>
          <t xml:space="preserve"/>
        </is>
      </c>
      <c r="I27" t="inlineStr" s="5">
        <is>
          <t xml:space="preserve"/>
        </is>
      </c>
      <c r="J27" t="inlineStr" s="5">
        <is>
          <t xml:space="preserve"/>
        </is>
      </c>
      <c r="K27" t="inlineStr" s="5">
        <is>
          <t xml:space="preserve">5%</t>
        </is>
      </c>
      <c r="L27" s="2">
        <v>1206.00</v>
      </c>
      <c r="M27" s="12">
        <v>36.99</v>
      </c>
      <c r="N27" t="inlineStr" s="14">
        <is>
          <t xml:space="preserve"/>
        </is>
      </c>
      <c r="O27" s="2">
        <f>IF(N27="",1206.00,ROUND(ROUND(319.00*(100-N27)/100,2)*6,2))</f>
        <v>1206.00</v>
      </c>
    </row>
    <row r="28">
      <c r="A28" t="inlineStr" s="5">
        <is>
          <t xml:space="preserve">23</t>
        </is>
      </c>
      <c r="B28" t="inlineStr" s="5">
        <is>
          <t xml:space="preserve">INDUS 19001 BK 5/8</t>
        </is>
      </c>
      <c r="C28" t="inlineStr" s="5">
        <is>
          <t xml:space="preserve">64041920</t>
        </is>
      </c>
      <c r="D28" t="inlineStr" s="5">
        <is>
          <t xml:space="preserve">6 Pairs</t>
        </is>
      </c>
      <c r="E28" s="2">
        <v>229.00</v>
      </c>
      <c r="F28" s="2">
        <v>144.00</v>
      </c>
      <c r="G28" s="2">
        <v>137.14</v>
      </c>
      <c r="H28" t="inlineStr" s="6">
        <is>
          <t xml:space="preserve"/>
        </is>
      </c>
      <c r="I28" t="inlineStr" s="5">
        <is>
          <t xml:space="preserve"/>
        </is>
      </c>
      <c r="J28" t="inlineStr" s="5">
        <is>
          <t xml:space="preserve"/>
        </is>
      </c>
      <c r="K28" t="inlineStr" s="5">
        <is>
          <t xml:space="preserve">5%</t>
        </is>
      </c>
      <c r="L28" s="2">
        <v>864.00</v>
      </c>
      <c r="M28" s="12">
        <v>37.12</v>
      </c>
      <c r="N28" t="inlineStr" s="14">
        <is>
          <t xml:space="preserve"/>
        </is>
      </c>
      <c r="O28" s="2">
        <f>IF(N28="",864.00,ROUND(ROUND(229.00*(100-N28)/100,2)*6,2))</f>
        <v>864.00</v>
      </c>
    </row>
    <row r="29">
      <c r="A29" t="inlineStr" s="5">
        <is>
          <t xml:space="preserve">24</t>
        </is>
      </c>
      <c r="B29" t="inlineStr" s="5">
        <is>
          <t xml:space="preserve">Indus 1917 Grape 5/8</t>
        </is>
      </c>
      <c r="C29" t="inlineStr" s="5">
        <is>
          <t xml:space="preserve">64041920</t>
        </is>
      </c>
      <c r="D29" t="inlineStr" s="5">
        <is>
          <t xml:space="preserve">6 Pairs</t>
        </is>
      </c>
      <c r="E29" s="2">
        <v>319.00</v>
      </c>
      <c r="F29" s="2">
        <v>201.00</v>
      </c>
      <c r="G29" s="2">
        <v>191.43</v>
      </c>
      <c r="H29" t="inlineStr" s="6">
        <is>
          <t xml:space="preserve"/>
        </is>
      </c>
      <c r="I29" t="inlineStr" s="5">
        <is>
          <t xml:space="preserve"/>
        </is>
      </c>
      <c r="J29" t="inlineStr" s="5">
        <is>
          <t xml:space="preserve"/>
        </is>
      </c>
      <c r="K29" t="inlineStr" s="5">
        <is>
          <t xml:space="preserve">5%</t>
        </is>
      </c>
      <c r="L29" s="2">
        <v>1206.00</v>
      </c>
      <c r="M29" s="12">
        <v>36.99</v>
      </c>
      <c r="N29" t="inlineStr" s="14">
        <is>
          <t xml:space="preserve"/>
        </is>
      </c>
      <c r="O29" s="2">
        <f>IF(N29="",1206.00,ROUND(ROUND(319.00*(100-N29)/100,2)*6,2))</f>
        <v>1206.00</v>
      </c>
    </row>
    <row r="30">
      <c r="A30" t="inlineStr" s="5">
        <is>
          <t xml:space="preserve">25</t>
        </is>
      </c>
      <c r="B30" t="inlineStr" s="5">
        <is>
          <t xml:space="preserve">Indus 12507 Crm 5/8</t>
        </is>
      </c>
      <c r="C30" t="inlineStr" s="5">
        <is>
          <t xml:space="preserve">64041920</t>
        </is>
      </c>
      <c r="D30" t="inlineStr" s="5">
        <is>
          <t xml:space="preserve">6 Pairs</t>
        </is>
      </c>
      <c r="E30" s="2">
        <v>339.00</v>
      </c>
      <c r="F30" s="2">
        <v>214.00</v>
      </c>
      <c r="G30" s="2">
        <v>203.81</v>
      </c>
      <c r="H30" t="inlineStr" s="6">
        <is>
          <t xml:space="preserve"/>
        </is>
      </c>
      <c r="I30" t="inlineStr" s="5">
        <is>
          <t xml:space="preserve"/>
        </is>
      </c>
      <c r="J30" t="inlineStr" s="5">
        <is>
          <t xml:space="preserve"/>
        </is>
      </c>
      <c r="K30" t="inlineStr" s="5">
        <is>
          <t xml:space="preserve">5%</t>
        </is>
      </c>
      <c r="L30" s="2">
        <v>1284.00</v>
      </c>
      <c r="M30" s="12">
        <v>36.87</v>
      </c>
      <c r="N30" t="inlineStr" s="14">
        <is>
          <t xml:space="preserve"/>
        </is>
      </c>
      <c r="O30" s="2">
        <f>IF(N30="",1284.00,ROUND(ROUND(339.00*(100-N30)/100,2)*6,2))</f>
        <v>1284.00</v>
      </c>
    </row>
    <row r="31">
      <c r="A31" t="inlineStr" s="5">
        <is>
          <t xml:space="preserve">26</t>
        </is>
      </c>
      <c r="B31" t="inlineStr" s="5">
        <is>
          <t xml:space="preserve">Indus 3324 Bk 6/8</t>
        </is>
      </c>
      <c r="C31" t="inlineStr" s="5">
        <is>
          <t xml:space="preserve">64041920</t>
        </is>
      </c>
      <c r="D31" t="inlineStr" s="5">
        <is>
          <t xml:space="preserve">6 Pairs</t>
        </is>
      </c>
      <c r="E31" s="2">
        <v>339.00</v>
      </c>
      <c r="F31" s="2">
        <v>214.00</v>
      </c>
      <c r="G31" s="2">
        <v>203.81</v>
      </c>
      <c r="H31" t="inlineStr" s="6">
        <is>
          <t xml:space="preserve"/>
        </is>
      </c>
      <c r="I31" t="inlineStr" s="5">
        <is>
          <t xml:space="preserve"/>
        </is>
      </c>
      <c r="J31" t="inlineStr" s="5">
        <is>
          <t xml:space="preserve"/>
        </is>
      </c>
      <c r="K31" t="inlineStr" s="5">
        <is>
          <t xml:space="preserve">5%</t>
        </is>
      </c>
      <c r="L31" s="2">
        <v>1284.00</v>
      </c>
      <c r="M31" s="12">
        <v>36.87</v>
      </c>
      <c r="N31" t="inlineStr" s="14">
        <is>
          <t xml:space="preserve"/>
        </is>
      </c>
      <c r="O31" s="2">
        <f>IF(N31="",1284.00,ROUND(ROUND(339.00*(100-N31)/100,2)*6,2))</f>
        <v>1284.00</v>
      </c>
    </row>
    <row r="32">
      <c r="A32" t="inlineStr" s="5">
        <is>
          <t xml:space="preserve">27</t>
        </is>
      </c>
      <c r="B32" t="inlineStr" s="5">
        <is>
          <t xml:space="preserve">Indus Yahoo 142 Bk 5/8</t>
        </is>
      </c>
      <c r="C32" t="inlineStr" s="5">
        <is>
          <t xml:space="preserve">64041920</t>
        </is>
      </c>
      <c r="D32" t="inlineStr" s="5">
        <is>
          <t xml:space="preserve">6 Pairs</t>
        </is>
      </c>
      <c r="E32" s="2">
        <v>289.00</v>
      </c>
      <c r="F32" s="2">
        <v>182.00</v>
      </c>
      <c r="G32" s="2">
        <v>173.33</v>
      </c>
      <c r="H32" t="inlineStr" s="6">
        <is>
          <t xml:space="preserve"/>
        </is>
      </c>
      <c r="I32" t="inlineStr" s="5">
        <is>
          <t xml:space="preserve"/>
        </is>
      </c>
      <c r="J32" t="inlineStr" s="5">
        <is>
          <t xml:space="preserve"/>
        </is>
      </c>
      <c r="K32" t="inlineStr" s="5">
        <is>
          <t xml:space="preserve">5%</t>
        </is>
      </c>
      <c r="L32" s="2">
        <v>1092.00</v>
      </c>
      <c r="M32" s="12">
        <v>37.02</v>
      </c>
      <c r="N32" t="inlineStr" s="14">
        <is>
          <t xml:space="preserve"/>
        </is>
      </c>
      <c r="O32" s="2">
        <f>IF(N32="",1092.00,ROUND(ROUND(289.00*(100-N32)/100,2)*6,2))</f>
        <v>1092.00</v>
      </c>
    </row>
    <row r="33">
      <c r="A33" t="inlineStr" s="5">
        <is>
          <t xml:space="preserve">28</t>
        </is>
      </c>
      <c r="B33" t="inlineStr" s="5">
        <is>
          <t xml:space="preserve">Indus lg 216 Bk 2/5.</t>
        </is>
      </c>
      <c r="C33" t="inlineStr" s="5">
        <is>
          <t xml:space="preserve">64041920</t>
        </is>
      </c>
      <c r="D33" t="inlineStr" s="5">
        <is>
          <t xml:space="preserve">6 Pairs</t>
        </is>
      </c>
      <c r="E33" s="2">
        <v>464.00</v>
      </c>
      <c r="F33" s="2">
        <v>292.00</v>
      </c>
      <c r="G33" s="2">
        <v>278.10</v>
      </c>
      <c r="H33" t="inlineStr" s="6">
        <is>
          <t xml:space="preserve"/>
        </is>
      </c>
      <c r="I33" t="inlineStr" s="5">
        <is>
          <t xml:space="preserve"/>
        </is>
      </c>
      <c r="J33" t="inlineStr" s="5">
        <is>
          <t xml:space="preserve"/>
        </is>
      </c>
      <c r="K33" t="inlineStr" s="5">
        <is>
          <t xml:space="preserve">5%</t>
        </is>
      </c>
      <c r="L33" s="2">
        <v>1752.00</v>
      </c>
      <c r="M33" s="12">
        <v>37.07</v>
      </c>
      <c r="N33" t="inlineStr" s="14">
        <is>
          <t xml:space="preserve"/>
        </is>
      </c>
      <c r="O33" s="2">
        <f>IF(N33="",1752.00,ROUND(ROUND(464.00*(100-N33)/100,2)*6,2))</f>
        <v>1752.00</v>
      </c>
    </row>
    <row r="34">
      <c r="A34" t="inlineStr" s="5">
        <is>
          <t xml:space="preserve">29</t>
        </is>
      </c>
      <c r="B34" t="inlineStr" s="5">
        <is>
          <t xml:space="preserve">Indus lg 216 Bk 11/1. SAC</t>
        </is>
      </c>
      <c r="C34" t="inlineStr" s="5">
        <is>
          <t xml:space="preserve">64041920</t>
        </is>
      </c>
      <c r="D34" t="inlineStr" s="5">
        <is>
          <t xml:space="preserve">6 Pairs</t>
        </is>
      </c>
      <c r="E34" s="2">
        <v>444.00</v>
      </c>
      <c r="F34" s="2">
        <v>280.00</v>
      </c>
      <c r="G34" s="2">
        <v>266.67</v>
      </c>
      <c r="H34" t="inlineStr" s="6">
        <is>
          <t xml:space="preserve">(per) (%) Amt.</t>
        </is>
      </c>
      <c r="I34" t="inlineStr" s="5">
        <is>
          <t xml:space="preserve">5%</t>
        </is>
      </c>
      <c r="J34" s="2">
        <v>1680.00</v>
      </c>
      <c r="K34" t="inlineStr" s="5">
        <is>
          <t xml:space="preserve">5.00%</t>
        </is>
      </c>
      <c r="L34" s="2">
        <v>1680.00</v>
      </c>
      <c r="M34" s="12">
        <v>36.94</v>
      </c>
      <c r="N34" t="inlineStr" s="14">
        <is>
          <t xml:space="preserve"/>
        </is>
      </c>
      <c r="O34" s="2">
        <f>IF(N34="",1680.00,ROUND(ROUND(444.00*(100-N34)/100,2)*6,2))</f>
        <v>1680.00</v>
      </c>
    </row>
    <row r="35">
      <c r="A35" t="inlineStr" s="5">
        <is>
          <t xml:space="preserve">30</t>
        </is>
      </c>
      <c r="B35" t="inlineStr" s="5">
        <is>
          <t xml:space="preserve">INDUS IG 203 BR 7/10 ..</t>
        </is>
      </c>
      <c r="C35" t="inlineStr" s="5">
        <is>
          <t xml:space="preserve">64041920</t>
        </is>
      </c>
      <c r="D35" t="inlineStr" s="5">
        <is>
          <t xml:space="preserve">6 Pairs</t>
        </is>
      </c>
      <c r="E35" s="2">
        <v>549.00</v>
      </c>
      <c r="F35" s="2">
        <v>346.00</v>
      </c>
      <c r="G35" s="2">
        <v>329.52</v>
      </c>
      <c r="H35" t="inlineStr" s="6">
        <is>
          <t xml:space="preserve"/>
        </is>
      </c>
      <c r="I35" t="inlineStr" s="5">
        <is>
          <t xml:space="preserve">5%</t>
        </is>
      </c>
      <c r="J35" s="2">
        <v>2076.00</v>
      </c>
      <c r="K35" t="inlineStr" s="5">
        <is>
          <t xml:space="preserve">5.00%</t>
        </is>
      </c>
      <c r="L35" s="2">
        <v>2076.00</v>
      </c>
      <c r="M35" s="12">
        <v>36.98</v>
      </c>
      <c r="N35" t="inlineStr" s="14">
        <is>
          <t xml:space="preserve"/>
        </is>
      </c>
      <c r="O35" s="2">
        <f>IF(N35="",2076.00,ROUND(ROUND(549.00*(100-N35)/100,2)*6,2))</f>
        <v>2076.00</v>
      </c>
    </row>
    <row r="36">
      <c r="A36" t="inlineStr" s="5">
        <is>
          <t xml:space="preserve">31</t>
        </is>
      </c>
      <c r="B36" t="inlineStr" s="5">
        <is>
          <t xml:space="preserve">Indus Yn 52 L Gry 6/9</t>
        </is>
      </c>
      <c r="C36" t="inlineStr" s="5">
        <is>
          <t xml:space="preserve">64041920</t>
        </is>
      </c>
      <c r="D36" t="inlineStr" s="5">
        <is>
          <t xml:space="preserve">6 Pairs</t>
        </is>
      </c>
      <c r="E36" s="2">
        <v>439.00</v>
      </c>
      <c r="F36" s="2">
        <v>277.00</v>
      </c>
      <c r="G36" s="2">
        <v>263.81</v>
      </c>
      <c r="H36" t="inlineStr" s="6">
        <is>
          <t xml:space="preserve"/>
        </is>
      </c>
      <c r="I36" t="inlineStr" s="5">
        <is>
          <t xml:space="preserve">5%</t>
        </is>
      </c>
      <c r="J36" s="2">
        <v>1662.00</v>
      </c>
      <c r="K36" t="inlineStr" s="5">
        <is>
          <t xml:space="preserve">5.00%</t>
        </is>
      </c>
      <c r="L36" s="2">
        <v>1662.00</v>
      </c>
      <c r="M36" s="12">
        <v>36.90</v>
      </c>
      <c r="N36" t="inlineStr" s="14">
        <is>
          <t xml:space="preserve"/>
        </is>
      </c>
      <c r="O36" s="2">
        <f>IF(N36="",1662.00,ROUND(ROUND(439.00*(100-N36)/100,2)*6,2))</f>
        <v>1662.00</v>
      </c>
    </row>
    <row r="37">
      <c r="A37" t="inlineStr" s="5">
        <is>
          <t xml:space="preserve">32</t>
        </is>
      </c>
      <c r="B37" t="inlineStr" s="5">
        <is>
          <t xml:space="preserve">Kiero Flynet 23 Gry 2/5</t>
        </is>
      </c>
      <c r="C37" t="inlineStr" s="5">
        <is>
          <t xml:space="preserve">64041920</t>
        </is>
      </c>
      <c r="D37" t="inlineStr" s="5">
        <is>
          <t xml:space="preserve">6 Pairs</t>
        </is>
      </c>
      <c r="E37" s="2">
        <v>0.00</v>
      </c>
      <c r="F37" s="2">
        <v>230.00</v>
      </c>
      <c r="G37" s="2">
        <v>219.05</v>
      </c>
      <c r="H37" t="inlineStr" s="6">
        <is>
          <t xml:space="preserve"/>
        </is>
      </c>
      <c r="I37" t="inlineStr" s="5">
        <is>
          <t xml:space="preserve">5%</t>
        </is>
      </c>
      <c r="J37" s="2">
        <v>1380.00</v>
      </c>
      <c r="K37" t="inlineStr" s="5">
        <is>
          <t xml:space="preserve">5.00%</t>
        </is>
      </c>
      <c r="L37" s="2">
        <v>1380.00</v>
      </c>
      <c r="M37" t="inlineStr" s="5">
        <is>
          <t xml:space="preserve">MRP नहीं (रेट वाला)</t>
        </is>
      </c>
      <c r="N37" t="inlineStr" s="5">
        <is>
          <t xml:space="preserve"/>
        </is>
      </c>
      <c r="O37" s="2">
        <v>1380.00</v>
      </c>
    </row>
    <row r="38">
      <c r="A38" t="inlineStr" s="5">
        <is>
          <t xml:space="preserve">33</t>
        </is>
      </c>
      <c r="B38" t="inlineStr" s="5">
        <is>
          <t xml:space="preserve">Kiero Flynet 12 Bk 11/1</t>
        </is>
      </c>
      <c r="C38" t="inlineStr" s="5">
        <is>
          <t xml:space="preserve">64041920</t>
        </is>
      </c>
      <c r="D38" t="inlineStr" s="5">
        <is>
          <t xml:space="preserve">6 Pairs</t>
        </is>
      </c>
      <c r="E38" s="2">
        <v>0.00</v>
      </c>
      <c r="F38" s="2">
        <v>220.00</v>
      </c>
      <c r="G38" s="2">
        <v>209.52</v>
      </c>
      <c r="H38" t="inlineStr" s="6">
        <is>
          <t xml:space="preserve"/>
        </is>
      </c>
      <c r="I38" t="inlineStr" s="5">
        <is>
          <t xml:space="preserve">5%</t>
        </is>
      </c>
      <c r="J38" t="inlineStr" s="5">
        <is>
          <t xml:space="preserve">1,320.00 D0</t>
        </is>
      </c>
      <c r="K38" t="inlineStr" s="5">
        <is>
          <t xml:space="preserve">5.00%</t>
        </is>
      </c>
      <c r="L38" s="2">
        <v>1320.00</v>
      </c>
      <c r="M38" t="inlineStr" s="5">
        <is>
          <t xml:space="preserve">MRP नहीं (रेट वाला)</t>
        </is>
      </c>
      <c r="N38" t="inlineStr" s="5">
        <is>
          <t xml:space="preserve"/>
        </is>
      </c>
      <c r="O38" s="2">
        <v>1320.00</v>
      </c>
    </row>
    <row r="39">
      <c r="B39" t="inlineStr" s="16">
        <is>
          <t xml:space="preserve">Total</t>
        </is>
      </c>
      <c r="D39" t="inlineStr" s="16">
        <is>
          <t xml:space="preserve">270 pairs</t>
        </is>
      </c>
      <c r="L39" s="15">
        <v>44676.00</v>
      </c>
      <c r="M39" s="12">
        <v>36.99</v>
      </c>
      <c r="O39" s="15">
        <f>SUM(O6:O38)</f>
        <v>44676.00</v>
      </c>
    </row>
    <row r="40">
      <c r="B40" t="inlineStr" s="16">
        <is>
          <t xml:space="preserve">GST included (CGST 1063.70 + SGST 1063.70)</t>
        </is>
      </c>
      <c r="L40" s="15">
        <v>2127.40</v>
      </c>
      <c r="O40" s="15">
        <f>ROUND((O6+O7+O8+O9+O10+O11+O12+O13+O14+O15+O16+O17+O18+O19+O20+O21+O22+O23+O24+O25+O26+O27+O28+O29+O30+O31+O32+O33+O34+O35+O36+O37+O38)*5/(100+5),2)</f>
        <v>2127.41</v>
      </c>
    </row>
    <row r="41">
      <c r="B41" t="inlineStr" s="16">
        <is>
          <t xml:space="preserve">Grand Total (printed on bill)</t>
        </is>
      </c>
      <c r="L41" s="15">
        <v>44676.00</v>
      </c>
      <c r="N41" t="inlineStr" s="16">
        <is>
          <t xml:space="preserve">नया Total →</t>
        </is>
      </c>
      <c r="O41" s="15">
        <f>ROUND(O39,0)</f>
        <v>44676.00</v>
      </c>
    </row>
    <row r="42">
      <c r="B42" t="inlineStr" s="16">
        <is>
          <t xml:space="preserve">Printed total − calculated = ₹0.01 — check the bill</t>
        </is>
      </c>
      <c r="L42" s="8">
        <v>0.01</v>
      </c>
    </row>
    <row r="43"/>
    <row r="44">
      <c r="B44" t="inlineStr" s="16">
        <is>
          <t xml:space="preserve">कंपनी-वार</t>
        </is>
      </c>
      <c r="M44" t="inlineStr" s="11">
        <is>
          <t xml:space="preserve">बैठा % (उन्होंने MRP पर असल कितना दिया)</t>
        </is>
      </c>
      <c r="N44" t="inlineStr" s="10">
        <is>
          <t xml:space="preserve">अपना % (बदल सकते हैं)</t>
        </is>
      </c>
      <c r="O44" t="inlineStr" s="1">
        <is>
          <t xml:space="preserve">नई रकम</t>
        </is>
      </c>
    </row>
    <row r="45">
      <c r="B45" t="inlineStr" s="16">
        <is>
          <t xml:space="preserve">INDUS (15 lines · 90 pairs)</t>
        </is>
      </c>
      <c r="L45" s="15">
        <v>19028.58</v>
      </c>
      <c r="M45" s="12">
        <v>36.99</v>
      </c>
      <c r="N45" t="inlineStr" s="5">
        <is>
          <t xml:space="preserve"/>
        </is>
      </c>
      <c r="O45" t="inlineStr" s="5">
        <is>
          <t xml:space="preserve"/>
        </is>
      </c>
    </row>
    <row r="46">
      <c r="B46" t="inlineStr" s="16">
        <is>
          <t xml:space="preserve">BINNY (8 lines · 102 pairs)</t>
        </is>
      </c>
      <c r="L46" s="15">
        <v>13737.14</v>
      </c>
      <c r="M46" t="inlineStr" s="8">
        <is>
          <t xml:space="preserve">Needs Verification</t>
        </is>
      </c>
      <c r="N46" t="inlineStr" s="5">
        <is>
          <t xml:space="preserve"/>
        </is>
      </c>
      <c r="O46" t="inlineStr" s="5">
        <is>
          <t xml:space="preserve"/>
        </is>
      </c>
    </row>
    <row r="47">
      <c r="B47" t="inlineStr" s="16">
        <is>
          <t xml:space="preserve">KIERO (4 lines · 24 pairs)</t>
        </is>
      </c>
      <c r="L47" s="15">
        <v>4457.15</v>
      </c>
      <c r="M47" t="inlineStr" s="8">
        <is>
          <t xml:space="preserve">Needs Verification</t>
        </is>
      </c>
      <c r="N47" t="inlineStr" s="5">
        <is>
          <t xml:space="preserve"/>
        </is>
      </c>
      <c r="O47" t="inlineStr" s="5">
        <is>
          <t xml:space="preserve"/>
        </is>
      </c>
    </row>
    <row r="48">
      <c r="B48" t="inlineStr" s="16">
        <is>
          <t xml:space="preserve">PRIMO (4 lines · 24 pairs)</t>
        </is>
      </c>
      <c r="L48" s="15">
        <v>2502.86</v>
      </c>
      <c r="M48" t="inlineStr" s="8">
        <is>
          <t xml:space="preserve">Needs Verification</t>
        </is>
      </c>
      <c r="N48" t="inlineStr" s="5">
        <is>
          <t xml:space="preserve"/>
        </is>
      </c>
      <c r="O48" t="inlineStr" s="5">
        <is>
          <t xml:space="preserve"/>
        </is>
      </c>
    </row>
    <row r="49">
      <c r="B49" t="inlineStr" s="16">
        <is>
          <t xml:space="preserve">LOOSE (1 lines · 24 pairs)</t>
        </is>
      </c>
      <c r="L49" s="15">
        <v>1714.29</v>
      </c>
      <c r="M49" t="inlineStr" s="8">
        <is>
          <t xml:space="preserve">Needs Verification</t>
        </is>
      </c>
      <c r="N49" t="inlineStr" s="5">
        <is>
          <t xml:space="preserve"/>
        </is>
      </c>
      <c r="O49" t="inlineStr" s="5">
        <is>
          <t xml:space="preserve"/>
        </is>
      </c>
    </row>
    <row r="50">
      <c r="B50" t="inlineStr" s="16">
        <is>
          <t xml:space="preserve">BLIBERS (1 lines · 6 pairs)</t>
        </is>
      </c>
      <c r="L50" s="15">
        <v>1108.57</v>
      </c>
      <c r="M50" t="inlineStr" s="8">
        <is>
          <t xml:space="preserve">Needs Verification</t>
        </is>
      </c>
      <c r="N50" t="inlineStr" s="5">
        <is>
          <t xml:space="preserve"/>
        </is>
      </c>
      <c r="O50" t="inlineStr" s="5">
        <is>
          <t xml:space="preserve"/>
        </is>
      </c>
    </row>
  </sheetData>
  <autoFilter ref="A5:O50"/>
  <pageMargins left="0.4" right="0.4" top="0.5" bottom="0.5" header="0.3" footer="0.3"/>
  <pageSetup orientation="landscape" paperSize="9" fitToWidth="1" fitToHeight="0"/>
</worksheet>
</file>