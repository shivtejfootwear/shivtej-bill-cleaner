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l + Baitha %" sheetId="1" r:id="rId1"/>
  </sheets>
  <definedNames>
    <definedName name="_xlnm._FilterDatabase" localSheetId="0" hidden="1">'Bill + Baitha %'!$A$5:$M$33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&quot;%&quot;"/>
    <numFmt numFmtId="166" formatCode="0"/>
    <numFmt numFmtId="167" formatCode="#,##0.##"/>
  </numFmts>
  <fonts count="7">
    <font>
      <sz val="11"/>
      <name val="Calibri"/>
    </font>
    <font>
      <b/>
      <sz val="11"/>
      <color rgb="FFFFFFFF"/>
      <name val="Calibri"/>
    </font>
    <font>
      <b/>
      <sz val="11"/>
      <color rgb="FFB45309"/>
      <name val="Calibri"/>
    </font>
    <font>
      <b/>
      <sz val="14"/>
      <color rgb="FF0E2A47"/>
      <name val="Calibri"/>
    </font>
    <font>
      <b/>
      <sz val="11"/>
      <color rgb="FF0E2A47"/>
      <name val="Calibri"/>
    </font>
    <font>
      <b/>
      <sz val="11"/>
      <color rgb="FF16653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FF1E2"/>
        <bgColor indexed="64"/>
      </patternFill>
    </fill>
    <fill>
      <patternFill patternType="solid">
        <fgColor rgb="FFF28A1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E7F6E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 vertical="top"/>
    </xf>
    <xf numFmtId="165" fontId="2" fillId="3" borderId="1" xfId="0" applyNumberFormat="1" applyFont="1" applyFill="1" applyBorder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4" fillId="0" borderId="1" xfId="0" applyFont="1" applyBorder="1"/>
    <xf numFmtId="0" fontId="1" fillId="4" borderId="1" xfId="0" applyFont="1" applyFill="1" applyBorder="1" applyAlignment="1">
      <alignment wrapText="1" vertical="center" horizontal="center"/>
    </xf>
    <xf numFmtId="0" fontId="1" fillId="5" borderId="1" xfId="0" applyFont="1" applyFill="1" applyBorder="1" applyAlignment="1">
      <alignment wrapText="1" vertical="center" horizontal="center"/>
    </xf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165" fontId="6" fillId="7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166" fontId="5" fillId="6" borderId="1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  <selection pane="bottomLeft"/>
    </sheetView>
  </sheetViews>
  <cols>
    <col min="1" max="1" width="11.0" customWidth="1"/>
    <col min="2" max="2" width="30.0" customWidth="1"/>
    <col min="3" max="3" width="11.0" customWidth="1"/>
    <col min="4" max="4" width="11.0" customWidth="1"/>
    <col min="5" max="5" width="11.0" customWidth="1"/>
    <col min="6" max="6" width="11.0" customWidth="1"/>
    <col min="7" max="7" width="11.0" customWidth="1"/>
    <col min="8" max="8" width="11.0" customWidth="1"/>
    <col min="9" max="9" width="11.0" customWidth="1"/>
    <col min="10" max="10" width="11.0" customWidth="1"/>
    <col min="11" max="11" width="14.0" customWidth="1"/>
    <col min="12" max="12" width="13.0" customWidth="1"/>
    <col min="13" max="13" width="16.0" customWidth="1"/>
  </cols>
  <sheetData>
    <row r="1">
      <c r="A1" t="inlineStr" s="7">
        <is>
          <t xml:space="preserve">Bata SH PATEL &amp; SONS — Invoice SHPS26271221 — 12-Sep-26</t>
        </is>
      </c>
    </row>
    <row r="2">
      <c r="A2" t="inlineStr" s="0">
        <is>
          <t xml:space="preserve">Buyer: SHIVTEJ FOOTWEAR   ·   Supplier GSTIN: 27ABTPP5894K1ZI   ·   Buyer GSTIN: 27ECIPS0222J1ZI</t>
        </is>
      </c>
    </row>
    <row r="3">
      <c r="A3" t="inlineStr" s="0">
        <is>
          <t xml:space="preserve">Columns up to "Amount" = supplier's bill as printed. Green बैठा % = (MRP − cost per pair incl. GST) ÷ MRP. Yellow अपना % can be changed here; the new amount and totals follow it. New amounts are our estimate, not the supplier's bill.</t>
        </is>
      </c>
    </row>
    <row r="4"/>
    <row r="5">
      <c r="A5" t="inlineStr" s="1">
        <is>
          <t xml:space="preserve">SI No.</t>
        </is>
      </c>
      <c r="B5" t="inlineStr" s="1">
        <is>
          <t xml:space="preserve">Description of Goods</t>
        </is>
      </c>
      <c r="C5" t="inlineStr" s="1">
        <is>
          <t xml:space="preserve">HSN/SAC</t>
        </is>
      </c>
      <c r="D5" t="inlineStr" s="1">
        <is>
          <t xml:space="preserve">GST Rate</t>
        </is>
      </c>
      <c r="E5" t="inlineStr" s="1">
        <is>
          <t xml:space="preserve">MRP/ Marginal</t>
        </is>
      </c>
      <c r="F5" t="inlineStr" s="1">
        <is>
          <t xml:space="preserve">Quantity</t>
        </is>
      </c>
      <c r="G5" t="inlineStr" s="1">
        <is>
          <t xml:space="preserve">Rate</t>
        </is>
      </c>
      <c r="H5" t="inlineStr" s="1">
        <is>
          <t xml:space="preserve">per</t>
        </is>
      </c>
      <c r="I5" t="inlineStr" s="10">
        <is>
          <t xml:space="preserve">Disc. %</t>
        </is>
      </c>
      <c r="J5" t="inlineStr" s="1">
        <is>
          <t xml:space="preserve">Amount</t>
        </is>
      </c>
      <c r="K5" t="inlineStr" s="11">
        <is>
          <t xml:space="preserve">बैठा % (उन्होंने MRP पर असल कितना दिया)</t>
        </is>
      </c>
      <c r="L5" t="inlineStr" s="10">
        <is>
          <t xml:space="preserve">अपना % (बदल सकते हैं)</t>
        </is>
      </c>
      <c r="M5" t="inlineStr" s="1">
        <is>
          <t xml:space="preserve">नई रकम (अपने % से, GST से पहले)</t>
        </is>
      </c>
    </row>
    <row r="6">
      <c r="A6" s="18">
        <v>1</v>
      </c>
      <c r="B6" t="inlineStr" s="5">
        <is>
          <t xml:space="preserve">REMO (81.6854 )</t>
        </is>
      </c>
      <c r="C6" t="inlineStr" s="5">
        <is>
          <t xml:space="preserve">64041920</t>
        </is>
      </c>
      <c r="D6" t="inlineStr" s="5">
        <is>
          <t xml:space="preserve">5%</t>
        </is>
      </c>
      <c r="E6" s="2">
        <v>1099.00</v>
      </c>
      <c r="F6" t="inlineStr" s="5">
        <is>
          <t xml:space="preserve">6 prs</t>
        </is>
      </c>
      <c r="G6" s="2">
        <v>753.60</v>
      </c>
      <c r="H6" t="inlineStr" s="5">
        <is>
          <t xml:space="preserve">prs</t>
        </is>
      </c>
      <c r="I6" t="inlineStr" s="6">
        <is>
          <t xml:space="preserve"/>
        </is>
      </c>
      <c r="J6" s="2">
        <v>4521.60</v>
      </c>
      <c r="K6" s="12">
        <v>28.00</v>
      </c>
      <c r="L6" t="inlineStr" s="14">
        <is>
          <t xml:space="preserve"/>
        </is>
      </c>
      <c r="M6" s="2">
        <f>IF(L6="",4521.60,ROUND(ROUND(1099.00*(100-L6)/(100+5),2)*6,2))</f>
        <v>4521.60</v>
      </c>
    </row>
    <row r="7">
      <c r="A7" s="18">
        <v>2</v>
      </c>
      <c r="B7" t="inlineStr" s="5">
        <is>
          <t xml:space="preserve">REMO (821.6293 )</t>
        </is>
      </c>
      <c r="C7" t="inlineStr" s="5">
        <is>
          <t xml:space="preserve">64041920</t>
        </is>
      </c>
      <c r="D7" t="inlineStr" s="5">
        <is>
          <t xml:space="preserve">5 %</t>
        </is>
      </c>
      <c r="E7" s="2">
        <v>849.00</v>
      </c>
      <c r="F7" t="inlineStr" s="5">
        <is>
          <t xml:space="preserve">4 prs</t>
        </is>
      </c>
      <c r="G7" s="2">
        <v>582.17</v>
      </c>
      <c r="H7" t="inlineStr" s="5">
        <is>
          <t xml:space="preserve">prs</t>
        </is>
      </c>
      <c r="I7" t="inlineStr" s="6">
        <is>
          <t xml:space="preserve"/>
        </is>
      </c>
      <c r="J7" s="2">
        <v>2328.68</v>
      </c>
      <c r="K7" s="12">
        <v>28.00</v>
      </c>
      <c r="L7" t="inlineStr" s="14">
        <is>
          <t xml:space="preserve"/>
        </is>
      </c>
      <c r="M7" s="2">
        <f>IF(L7="",2328.68,ROUND(ROUND(849.00*(100-L7)/(100+5),2)*4,2))</f>
        <v>2328.68</v>
      </c>
    </row>
    <row r="8">
      <c r="A8" s="18">
        <v>3</v>
      </c>
      <c r="B8" t="inlineStr" s="5">
        <is>
          <t xml:space="preserve">REMO ( 821.6260 )</t>
        </is>
      </c>
      <c r="C8" t="inlineStr" s="5">
        <is>
          <t xml:space="preserve">64041920</t>
        </is>
      </c>
      <c r="D8" t="inlineStr" s="5">
        <is>
          <t xml:space="preserve">5%</t>
        </is>
      </c>
      <c r="E8" s="2">
        <v>849.00</v>
      </c>
      <c r="F8" t="inlineStr" s="5">
        <is>
          <t xml:space="preserve">7 prs</t>
        </is>
      </c>
      <c r="G8" s="2">
        <v>582.17</v>
      </c>
      <c r="H8" t="inlineStr" s="5">
        <is>
          <t xml:space="preserve">prs</t>
        </is>
      </c>
      <c r="I8" t="inlineStr" s="6">
        <is>
          <t xml:space="preserve"/>
        </is>
      </c>
      <c r="J8" s="2">
        <v>4075.19</v>
      </c>
      <c r="K8" s="12">
        <v>28.00</v>
      </c>
      <c r="L8" t="inlineStr" s="14">
        <is>
          <t xml:space="preserve"/>
        </is>
      </c>
      <c r="M8" s="2">
        <f>IF(L8="",4075.19,ROUND(ROUND(849.00*(100-L8)/(100+5),2)*7,2))</f>
        <v>4075.19</v>
      </c>
    </row>
    <row r="9">
      <c r="A9" s="18">
        <v>4</v>
      </c>
      <c r="B9" t="inlineStr" s="5">
        <is>
          <t xml:space="preserve">REMo (821.4328 )</t>
        </is>
      </c>
      <c r="C9" t="inlineStr" s="5">
        <is>
          <t xml:space="preserve">64041920</t>
        </is>
      </c>
      <c r="D9" t="inlineStr" s="5">
        <is>
          <t xml:space="preserve">5%</t>
        </is>
      </c>
      <c r="E9" s="2">
        <v>999.00</v>
      </c>
      <c r="F9" t="inlineStr" s="5">
        <is>
          <t xml:space="preserve">3 prs</t>
        </is>
      </c>
      <c r="G9" s="2">
        <v>685.03</v>
      </c>
      <c r="H9" t="inlineStr" s="5">
        <is>
          <t xml:space="preserve">prs</t>
        </is>
      </c>
      <c r="I9" t="inlineStr" s="6">
        <is>
          <t xml:space="preserve"/>
        </is>
      </c>
      <c r="J9" s="2">
        <v>2055.09</v>
      </c>
      <c r="K9" s="12">
        <v>28.00</v>
      </c>
      <c r="L9" t="inlineStr" s="14">
        <is>
          <t xml:space="preserve"/>
        </is>
      </c>
      <c r="M9" s="2">
        <f>IF(L9="",2055.09,ROUND(ROUND(999.00*(100-L9)/(100+5),2)*3,2))</f>
        <v>2055.09</v>
      </c>
    </row>
    <row r="10">
      <c r="A10" s="18">
        <v>5</v>
      </c>
      <c r="B10" t="inlineStr" s="5">
        <is>
          <t xml:space="preserve">REMO (821.6516 )</t>
        </is>
      </c>
      <c r="C10" t="inlineStr" s="5">
        <is>
          <t xml:space="preserve">640299</t>
        </is>
      </c>
      <c r="D10" t="inlineStr" s="5">
        <is>
          <t xml:space="preserve">5%</t>
        </is>
      </c>
      <c r="E10" s="2">
        <v>999.00</v>
      </c>
      <c r="F10" t="inlineStr" s="5">
        <is>
          <t xml:space="preserve">2 prs</t>
        </is>
      </c>
      <c r="G10" t="inlineStr" s="5">
        <is>
          <t xml:space="preserve">685.03 prs</t>
        </is>
      </c>
      <c r="H10" t="inlineStr" s="5">
        <is>
          <t xml:space="preserve"/>
        </is>
      </c>
      <c r="I10" t="inlineStr" s="6">
        <is>
          <t xml:space="preserve"/>
        </is>
      </c>
      <c r="J10" s="2">
        <v>1370.06</v>
      </c>
      <c r="K10" s="12">
        <v>28.00</v>
      </c>
      <c r="L10" t="inlineStr" s="14">
        <is>
          <t xml:space="preserve"/>
        </is>
      </c>
      <c r="M10" s="2">
        <f>IF(L10="",1370.06,ROUND(ROUND(999.00*(100-L10)/(100+5),2)*2,2))</f>
        <v>1370.06</v>
      </c>
    </row>
    <row r="11">
      <c r="A11" t="inlineStr" s="5">
        <is>
          <t xml:space="preserve"/>
        </is>
      </c>
      <c r="B11" t="inlineStr" s="5">
        <is>
          <t xml:space="preserve">6MACHO (871.6161 )</t>
        </is>
      </c>
      <c r="C11" t="inlineStr" s="5">
        <is>
          <t xml:space="preserve">64041920</t>
        </is>
      </c>
      <c r="D11" t="inlineStr" s="5">
        <is>
          <t xml:space="preserve">5%</t>
        </is>
      </c>
      <c r="E11" s="2">
        <v>659.00</v>
      </c>
      <c r="F11" t="inlineStr" s="5">
        <is>
          <t xml:space="preserve">4 prs</t>
        </is>
      </c>
      <c r="G11" s="2">
        <v>451.89</v>
      </c>
      <c r="H11" t="inlineStr" s="5">
        <is>
          <t xml:space="preserve">prs</t>
        </is>
      </c>
      <c r="I11" t="inlineStr" s="6">
        <is>
          <t xml:space="preserve"/>
        </is>
      </c>
      <c r="J11" s="2">
        <v>1807.56</v>
      </c>
      <c r="K11" s="12">
        <v>28.00</v>
      </c>
      <c r="L11" t="inlineStr" s="14">
        <is>
          <t xml:space="preserve"/>
        </is>
      </c>
      <c r="M11" s="2">
        <f>IF(L11="",1807.56,ROUND(ROUND(659.00*(100-L11)/(100+5),2)*4,2))</f>
        <v>1807.56</v>
      </c>
    </row>
    <row r="12">
      <c r="A12" s="18">
        <v>7</v>
      </c>
      <c r="B12" t="inlineStr" s="5">
        <is>
          <t xml:space="preserve">MACHO (871.3262</t>
        </is>
      </c>
      <c r="C12" t="inlineStr" s="5">
        <is>
          <t xml:space="preserve">64041920</t>
        </is>
      </c>
      <c r="D12" t="inlineStr" s="5">
        <is>
          <t xml:space="preserve">5%</t>
        </is>
      </c>
      <c r="E12" s="2">
        <v>659.00</v>
      </c>
      <c r="F12" t="inlineStr" s="5">
        <is>
          <t xml:space="preserve">6 prs</t>
        </is>
      </c>
      <c r="G12" s="2">
        <v>451.89</v>
      </c>
      <c r="H12" t="inlineStr" s="5">
        <is>
          <t xml:space="preserve">prs</t>
        </is>
      </c>
      <c r="I12" t="inlineStr" s="6">
        <is>
          <t xml:space="preserve"/>
        </is>
      </c>
      <c r="J12" s="2">
        <v>2711.34</v>
      </c>
      <c r="K12" s="12">
        <v>28.00</v>
      </c>
      <c r="L12" t="inlineStr" s="14">
        <is>
          <t xml:space="preserve"/>
        </is>
      </c>
      <c r="M12" s="2">
        <f>IF(L12="",2711.34,ROUND(ROUND(659.00*(100-L12)/(100+5),2)*6,2))</f>
        <v>2711.34</v>
      </c>
    </row>
    <row r="13">
      <c r="A13" s="18">
        <v>8</v>
      </c>
      <c r="B13" t="inlineStr" s="5">
        <is>
          <t xml:space="preserve">FORD (871.3561 )</t>
        </is>
      </c>
      <c r="C13" t="inlineStr" s="5">
        <is>
          <t xml:space="preserve">64041920</t>
        </is>
      </c>
      <c r="D13" t="inlineStr" s="5">
        <is>
          <t xml:space="preserve">5 %</t>
        </is>
      </c>
      <c r="E13" s="2">
        <v>699.00</v>
      </c>
      <c r="F13" t="inlineStr" s="5">
        <is>
          <t xml:space="preserve">4 prs</t>
        </is>
      </c>
      <c r="G13" s="2">
        <v>479.31</v>
      </c>
      <c r="H13" t="inlineStr" s="5">
        <is>
          <t xml:space="preserve">prs</t>
        </is>
      </c>
      <c r="I13" t="inlineStr" s="6">
        <is>
          <t xml:space="preserve"/>
        </is>
      </c>
      <c r="J13" s="2">
        <v>1917.24</v>
      </c>
      <c r="K13" s="12">
        <v>28.00</v>
      </c>
      <c r="L13" t="inlineStr" s="14">
        <is>
          <t xml:space="preserve"/>
        </is>
      </c>
      <c r="M13" s="2">
        <f>IF(L13="",1917.24,ROUND(ROUND(699.00*(100-L13)/(100+5),2)*4,2))</f>
        <v>1917.24</v>
      </c>
    </row>
    <row r="14">
      <c r="A14" t="inlineStr" s="5">
        <is>
          <t xml:space="preserve"/>
        </is>
      </c>
      <c r="B14" t="inlineStr" s="5">
        <is>
          <t xml:space="preserve">JALSA (851.4296 )</t>
        </is>
      </c>
      <c r="C14" t="inlineStr" s="5">
        <is>
          <t xml:space="preserve">64041920</t>
        </is>
      </c>
      <c r="D14" t="inlineStr" s="5">
        <is>
          <t xml:space="preserve">5%</t>
        </is>
      </c>
      <c r="E14" s="2">
        <v>449.00</v>
      </c>
      <c r="F14" t="inlineStr" s="5">
        <is>
          <t xml:space="preserve">2 prs</t>
        </is>
      </c>
      <c r="G14" s="2">
        <v>307.89</v>
      </c>
      <c r="H14" t="inlineStr" s="5">
        <is>
          <t xml:space="preserve">prs</t>
        </is>
      </c>
      <c r="I14" t="inlineStr" s="6">
        <is>
          <t xml:space="preserve"/>
        </is>
      </c>
      <c r="J14" s="2">
        <v>615.78</v>
      </c>
      <c r="K14" s="12">
        <v>28.00</v>
      </c>
      <c r="L14" t="inlineStr" s="14">
        <is>
          <t xml:space="preserve"/>
        </is>
      </c>
      <c r="M14" s="2">
        <f>IF(L14="",615.78,ROUND(ROUND(449.00*(100-L14)/(100+5),2)*2,2))</f>
        <v>615.78</v>
      </c>
    </row>
    <row r="15">
      <c r="A15" t="inlineStr" s="5">
        <is>
          <t xml:space="preserve"/>
        </is>
      </c>
      <c r="B15" t="inlineStr" s="5">
        <is>
          <t xml:space="preserve">78.5d1 10 JALSA ( 851.4296 )</t>
        </is>
      </c>
      <c r="C15" t="inlineStr" s="5">
        <is>
          <t xml:space="preserve">64041920</t>
        </is>
      </c>
      <c r="D15" t="inlineStr" s="5">
        <is>
          <t xml:space="preserve">5%</t>
        </is>
      </c>
      <c r="E15" s="2">
        <v>429.00</v>
      </c>
      <c r="F15" t="inlineStr" s="5">
        <is>
          <t xml:space="preserve">2 prs</t>
        </is>
      </c>
      <c r="G15" t="inlineStr" s="5">
        <is>
          <t xml:space="preserve">294.17 prs</t>
        </is>
      </c>
      <c r="H15" t="inlineStr" s="5">
        <is>
          <t xml:space="preserve"/>
        </is>
      </c>
      <c r="I15" t="inlineStr" s="6">
        <is>
          <t xml:space="preserve"/>
        </is>
      </c>
      <c r="J15" s="2">
        <v>588.34</v>
      </c>
      <c r="K15" s="12">
        <v>28.00</v>
      </c>
      <c r="L15" t="inlineStr" s="14">
        <is>
          <t xml:space="preserve"/>
        </is>
      </c>
      <c r="M15" s="2">
        <f>IF(L15="",588.34,ROUND(ROUND(429.00*(100-L15)/(100+5),2)*2,2))</f>
        <v>588.34</v>
      </c>
    </row>
    <row r="16">
      <c r="A16" s="18">
        <v>11</v>
      </c>
      <c r="B16" t="inlineStr" s="5">
        <is>
          <t xml:space="preserve">JALSA (851.6296 )</t>
        </is>
      </c>
      <c r="C16" t="inlineStr" s="5">
        <is>
          <t xml:space="preserve">64041920</t>
        </is>
      </c>
      <c r="D16" t="inlineStr" s="5">
        <is>
          <t xml:space="preserve">5%</t>
        </is>
      </c>
      <c r="E16" s="2">
        <v>449.00</v>
      </c>
      <c r="F16" t="inlineStr" s="5">
        <is>
          <t xml:space="preserve">1 prs</t>
        </is>
      </c>
      <c r="G16" s="2">
        <v>307.89</v>
      </c>
      <c r="H16" t="inlineStr" s="5">
        <is>
          <t xml:space="preserve">prs</t>
        </is>
      </c>
      <c r="I16" t="inlineStr" s="6">
        <is>
          <t xml:space="preserve"/>
        </is>
      </c>
      <c r="J16" s="2">
        <v>307.89</v>
      </c>
      <c r="K16" s="12">
        <v>28.00</v>
      </c>
      <c r="L16" t="inlineStr" s="14">
        <is>
          <t xml:space="preserve"/>
        </is>
      </c>
      <c r="M16" s="2">
        <f>IF(L16="",307.89,ROUND(ROUND(449.00*(100-L16)/(100+5),2)*1,2))</f>
        <v>307.89</v>
      </c>
    </row>
    <row r="17">
      <c r="A17" s="18">
        <v>12</v>
      </c>
      <c r="B17" t="inlineStr" s="5">
        <is>
          <t xml:space="preserve">JALSA (851.6296 )</t>
        </is>
      </c>
      <c r="C17" t="inlineStr" s="5">
        <is>
          <t xml:space="preserve">64041920</t>
        </is>
      </c>
      <c r="D17" t="inlineStr" s="5">
        <is>
          <t xml:space="preserve">5%</t>
        </is>
      </c>
      <c r="E17" s="2">
        <v>429.00</v>
      </c>
      <c r="F17" t="inlineStr" s="5">
        <is>
          <t xml:space="preserve">3 prs</t>
        </is>
      </c>
      <c r="G17" s="2">
        <v>294.17</v>
      </c>
      <c r="H17" t="inlineStr" s="5">
        <is>
          <t xml:space="preserve">prs</t>
        </is>
      </c>
      <c r="I17" t="inlineStr" s="6">
        <is>
          <t xml:space="preserve"/>
        </is>
      </c>
      <c r="J17" s="2">
        <v>882.51</v>
      </c>
      <c r="K17" s="12">
        <v>28.00</v>
      </c>
      <c r="L17" t="inlineStr" s="14">
        <is>
          <t xml:space="preserve"/>
        </is>
      </c>
      <c r="M17" s="2">
        <f>IF(L17="",882.51,ROUND(ROUND(429.00*(100-L17)/(100+5),2)*3,2))</f>
        <v>882.51</v>
      </c>
    </row>
    <row r="18">
      <c r="A18" t="inlineStr" s="5">
        <is>
          <t xml:space="preserve"/>
        </is>
      </c>
      <c r="B18" t="inlineStr" s="5">
        <is>
          <t xml:space="preserve">PAD 13 REMO (851.6968</t>
        </is>
      </c>
      <c r="C18" t="inlineStr" s="5">
        <is>
          <t xml:space="preserve">64041920</t>
        </is>
      </c>
      <c r="D18" t="inlineStr" s="5">
        <is>
          <t xml:space="preserve">5%</t>
        </is>
      </c>
      <c r="E18" s="2">
        <v>899.00</v>
      </c>
      <c r="F18" t="inlineStr" s="5">
        <is>
          <t xml:space="preserve">8 prs</t>
        </is>
      </c>
      <c r="G18" s="2">
        <v>616.46</v>
      </c>
      <c r="H18" t="inlineStr" s="5">
        <is>
          <t xml:space="preserve">prs</t>
        </is>
      </c>
      <c r="I18" t="inlineStr" s="6">
        <is>
          <t xml:space="preserve"/>
        </is>
      </c>
      <c r="J18" s="2">
        <v>4931.68</v>
      </c>
      <c r="K18" s="12">
        <v>28.00</v>
      </c>
      <c r="L18" t="inlineStr" s="14">
        <is>
          <t xml:space="preserve"/>
        </is>
      </c>
      <c r="M18" s="2">
        <f>IF(L18="",4931.68,ROUND(ROUND(899.00*(100-L18)/(100+5),2)*8,2))</f>
        <v>4931.68</v>
      </c>
    </row>
    <row r="19">
      <c r="A19" s="18">
        <v>14</v>
      </c>
      <c r="B19" t="inlineStr" s="5">
        <is>
          <t xml:space="preserve">FORD (871.6362 )</t>
        </is>
      </c>
      <c r="C19" t="inlineStr" s="5">
        <is>
          <t xml:space="preserve">64041920</t>
        </is>
      </c>
      <c r="D19" t="inlineStr" s="5">
        <is>
          <t xml:space="preserve">5%</t>
        </is>
      </c>
      <c r="E19" s="2">
        <v>699.00</v>
      </c>
      <c r="F19" t="inlineStr" s="5">
        <is>
          <t xml:space="preserve">8 prs</t>
        </is>
      </c>
      <c r="G19" s="2">
        <v>479.31</v>
      </c>
      <c r="H19" t="inlineStr" s="5">
        <is>
          <t xml:space="preserve">prs</t>
        </is>
      </c>
      <c r="I19" t="inlineStr" s="6">
        <is>
          <t xml:space="preserve"/>
        </is>
      </c>
      <c r="J19" s="2">
        <v>3834.48</v>
      </c>
      <c r="K19" s="12">
        <v>28.00</v>
      </c>
      <c r="L19" t="inlineStr" s="14">
        <is>
          <t xml:space="preserve"/>
        </is>
      </c>
      <c r="M19" s="2">
        <f>IF(L19="",3834.48,ROUND(ROUND(699.00*(100-L19)/(100+5),2)*8,2))</f>
        <v>3834.48</v>
      </c>
    </row>
    <row r="20">
      <c r="A20" s="18">
        <v>15</v>
      </c>
      <c r="B20" t="inlineStr" s="5">
        <is>
          <t xml:space="preserve">FORD (871.3561 )</t>
        </is>
      </c>
      <c r="C20" t="inlineStr" s="5">
        <is>
          <t xml:space="preserve">64041920</t>
        </is>
      </c>
      <c r="D20" t="inlineStr" s="5">
        <is>
          <t xml:space="preserve">5%</t>
        </is>
      </c>
      <c r="E20" s="2">
        <v>699.00</v>
      </c>
      <c r="F20" t="inlineStr" s="5">
        <is>
          <t xml:space="preserve">4 prs</t>
        </is>
      </c>
      <c r="G20" s="2">
        <v>479.31</v>
      </c>
      <c r="H20" t="inlineStr" s="5">
        <is>
          <t xml:space="preserve">prs</t>
        </is>
      </c>
      <c r="I20" t="inlineStr" s="6">
        <is>
          <t xml:space="preserve"/>
        </is>
      </c>
      <c r="J20" s="2">
        <v>1917.24</v>
      </c>
      <c r="K20" s="12">
        <v>28.00</v>
      </c>
      <c r="L20" t="inlineStr" s="14">
        <is>
          <t xml:space="preserve"/>
        </is>
      </c>
      <c r="M20" s="2">
        <f>IF(L20="",1917.24,ROUND(ROUND(699.00*(100-L20)/(100+5),2)*4,2))</f>
        <v>1917.24</v>
      </c>
    </row>
    <row r="21">
      <c r="B21" t="inlineStr" s="16">
        <is>
          <t xml:space="preserve">Total</t>
        </is>
      </c>
      <c r="F21" t="inlineStr" s="16">
        <is>
          <t xml:space="preserve">64 pairs</t>
        </is>
      </c>
      <c r="J21" s="15">
        <v>33864.68</v>
      </c>
      <c r="K21" s="12">
        <v>28.00</v>
      </c>
      <c r="M21" s="15">
        <f>SUM(M6:M20)</f>
        <v>33864.68</v>
      </c>
    </row>
    <row r="22">
      <c r="B22" t="inlineStr" s="16">
        <is>
          <t xml:space="preserve">GST (CGST 846.61 + SGST 846.61)</t>
        </is>
      </c>
      <c r="J22" s="15">
        <v>1693.22</v>
      </c>
      <c r="M22" s="15">
        <f>ROUND((M6+M7+M8+M9+M10+M11+M12+M13+M14+M15+M16+M17+M18+M19+M20)*5/100,2)</f>
        <v>1693.23</v>
      </c>
    </row>
    <row r="23">
      <c r="B23" t="inlineStr" s="16">
        <is>
          <t xml:space="preserve">Round off</t>
        </is>
      </c>
      <c r="J23" s="15">
        <v>0.10</v>
      </c>
    </row>
    <row r="24">
      <c r="B24" t="inlineStr" s="16">
        <is>
          <t xml:space="preserve">Grand Total (printed on bill)</t>
        </is>
      </c>
      <c r="J24" s="15">
        <v>35558.00</v>
      </c>
      <c r="L24" t="inlineStr" s="16">
        <is>
          <t xml:space="preserve">नया Total →</t>
        </is>
      </c>
      <c r="M24" s="15">
        <f>ROUND(M21+M22,0)</f>
        <v>35558.00</v>
      </c>
    </row>
    <row r="25"/>
    <row r="26">
      <c r="B26" t="inlineStr" s="16">
        <is>
          <t xml:space="preserve">कंपनी-वार</t>
        </is>
      </c>
      <c r="K26" t="inlineStr" s="11">
        <is>
          <t xml:space="preserve">बैठा % (उन्होंने MRP पर असल कितना दिया)</t>
        </is>
      </c>
      <c r="L26" t="inlineStr" s="10">
        <is>
          <t xml:space="preserve">अपना % (बदल सकते हैं)</t>
        </is>
      </c>
      <c r="M26" t="inlineStr" s="1">
        <is>
          <t xml:space="preserve">नई रकम</t>
        </is>
      </c>
    </row>
    <row r="27">
      <c r="B27" t="inlineStr" s="16">
        <is>
          <t xml:space="preserve">अन्य (4 lines · 24 pairs)</t>
        </is>
      </c>
      <c r="J27" s="15">
        <v>12984.66</v>
      </c>
      <c r="K27" s="12">
        <v>28.00</v>
      </c>
      <c r="L27" t="inlineStr" s="5">
        <is>
          <t xml:space="preserve"/>
        </is>
      </c>
      <c r="M27" t="inlineStr" s="5">
        <is>
          <t xml:space="preserve"/>
        </is>
      </c>
    </row>
    <row r="28">
      <c r="B28" t="inlineStr" s="16">
        <is>
          <t xml:space="preserve">REMO (4 lines · 16 pairs)</t>
        </is>
      </c>
      <c r="J28" s="15">
        <v>9829.02</v>
      </c>
      <c r="K28" s="12">
        <v>28.00</v>
      </c>
      <c r="L28" t="inlineStr" s="5">
        <is>
          <t xml:space="preserve"/>
        </is>
      </c>
      <c r="M28" t="inlineStr" s="5">
        <is>
          <t xml:space="preserve"/>
        </is>
      </c>
    </row>
    <row r="29">
      <c r="B29" t="inlineStr" s="16">
        <is>
          <t xml:space="preserve">PAD (1 lines · 8 pairs)</t>
        </is>
      </c>
      <c r="J29" s="15">
        <v>4931.68</v>
      </c>
      <c r="K29" s="12">
        <v>28.00</v>
      </c>
      <c r="L29" t="inlineStr" s="5">
        <is>
          <t xml:space="preserve"/>
        </is>
      </c>
      <c r="M29" t="inlineStr" s="5">
        <is>
          <t xml:space="preserve"/>
        </is>
      </c>
    </row>
    <row r="30">
      <c r="B30" t="inlineStr" s="16">
        <is>
          <t xml:space="preserve">FORD (1 lines · 4 pairs)</t>
        </is>
      </c>
      <c r="J30" s="15">
        <v>1917.24</v>
      </c>
      <c r="K30" s="12">
        <v>28.00</v>
      </c>
      <c r="L30" t="inlineStr" s="5">
        <is>
          <t xml:space="preserve"/>
        </is>
      </c>
      <c r="M30" t="inlineStr" s="5">
        <is>
          <t xml:space="preserve"/>
        </is>
      </c>
    </row>
    <row r="31">
      <c r="B31" t="inlineStr" s="16">
        <is>
          <t xml:space="preserve">MACHO (1 lines · 4 pairs)</t>
        </is>
      </c>
      <c r="J31" s="15">
        <v>1807.56</v>
      </c>
      <c r="K31" s="12">
        <v>28.00</v>
      </c>
      <c r="L31" t="inlineStr" s="5">
        <is>
          <t xml:space="preserve"/>
        </is>
      </c>
      <c r="M31" t="inlineStr" s="5">
        <is>
          <t xml:space="preserve"/>
        </is>
      </c>
    </row>
    <row r="32">
      <c r="B32" t="inlineStr" s="16">
        <is>
          <t xml:space="preserve">JALSA (3 lines · 6 pairs)</t>
        </is>
      </c>
      <c r="J32" s="15">
        <v>1806.18</v>
      </c>
      <c r="K32" s="12">
        <v>28.00</v>
      </c>
      <c r="L32" t="inlineStr" s="5">
        <is>
          <t xml:space="preserve"/>
        </is>
      </c>
      <c r="M32" t="inlineStr" s="5">
        <is>
          <t xml:space="preserve"/>
        </is>
      </c>
    </row>
    <row r="33">
      <c r="B33" t="inlineStr" s="16">
        <is>
          <t xml:space="preserve">D (1 lines · 2 pairs)</t>
        </is>
      </c>
      <c r="J33" s="15">
        <v>588.34</v>
      </c>
      <c r="K33" s="12">
        <v>28.00</v>
      </c>
      <c r="L33" t="inlineStr" s="5">
        <is>
          <t xml:space="preserve"/>
        </is>
      </c>
      <c r="M33" t="inlineStr" s="5">
        <is>
          <t xml:space="preserve"/>
        </is>
      </c>
    </row>
  </sheetData>
  <autoFilter ref="A5:M33"/>
  <pageMargins left="0.4" right="0.4" top="0.5" bottom="0.5" header="0.3" footer="0.3"/>
  <pageSetup orientation="landscape" paperSize="9" fitToWidth="1" fitToHeight="0"/>
</worksheet>
</file>