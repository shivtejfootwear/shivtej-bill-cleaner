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%'!$A$5:$J$40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4.0" customWidth="1"/>
    <col min="9" max="9" width="13.0" customWidth="1"/>
    <col min="10" max="10" width="16.0" customWidth="1"/>
  </cols>
  <sheetData>
    <row r="1">
      <c r="A1" t="inlineStr" s="7">
        <is>
          <t xml:space="preserve">Yash Enterprises — Invoice YEI26-27/0393 — 1-Sep-2026</t>
        </is>
      </c>
    </row>
    <row r="2">
      <c r="A2" t="inlineStr" s="0">
        <is>
          <t xml:space="preserve">Buyer: SHIVTEJ FOOTWEAR-AKLUJ   ·   Supplier GSTIN: Not found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No.</t>
        </is>
      </c>
      <c r="B5" t="inlineStr" s="1">
        <is>
          <t xml:space="preserve">Description of Goods</t>
        </is>
      </c>
      <c r="C5" t="inlineStr" s="1">
        <is>
          <t xml:space="preserve">THSN/SAC</t>
        </is>
      </c>
      <c r="D5" t="inlineStr" s="1">
        <is>
          <t xml:space="preserve">Quantity</t>
        </is>
      </c>
      <c r="E5" t="inlineStr" s="1">
        <is>
          <t xml:space="preserve">Rate</t>
        </is>
      </c>
      <c r="F5" t="inlineStr" s="1">
        <is>
          <t xml:space="preserve">per</t>
        </is>
      </c>
      <c r="G5" t="inlineStr" s="1">
        <is>
          <t xml:space="preserve">Amount</t>
        </is>
      </c>
      <c r="H5" t="inlineStr" s="11">
        <is>
          <t xml:space="preserve">बैठा % (उन्होंने MRP पर असल कितना दिया)</t>
        </is>
      </c>
      <c r="I5" t="inlineStr" s="10">
        <is>
          <t xml:space="preserve">अपना % (बदल सकते हैं)</t>
        </is>
      </c>
      <c r="J5" t="inlineStr" s="1">
        <is>
          <t xml:space="preserve">नई रकम (अपने % से, GST से पहले)</t>
        </is>
      </c>
    </row>
    <row r="6">
      <c r="A6" t="inlineStr" s="5">
        <is>
          <t xml:space="preserve">1</t>
        </is>
      </c>
      <c r="B6" t="inlineStr" s="5">
        <is>
          <t xml:space="preserve">FL-O5-N.NAVY-319</t>
        </is>
      </c>
      <c r="C6" t="inlineStr" s="5">
        <is>
          <t xml:space="preserve">64022090</t>
        </is>
      </c>
      <c r="D6" t="inlineStr" s="5">
        <is>
          <t xml:space="preserve">8 Prs</t>
        </is>
      </c>
      <c r="E6" t="inlineStr" s="5">
        <is>
          <t xml:space="preserve">197.50 Prs</t>
        </is>
      </c>
      <c r="F6" t="inlineStr" s="5">
        <is>
          <t xml:space="preserve"/>
        </is>
      </c>
      <c r="G6" s="2">
        <v>1580.00</v>
      </c>
      <c r="H6" s="12">
        <v>38.24</v>
      </c>
      <c r="I6" t="inlineStr" s="14">
        <is>
          <t xml:space="preserve"/>
        </is>
      </c>
      <c r="J6" s="2">
        <f>IF(I6="",1501.00,ROUND(ROUND(319*(100-I6)/(100+5),2)*8,2))</f>
        <v>1501.00</v>
      </c>
    </row>
    <row r="7">
      <c r="A7" t="inlineStr" s="5">
        <is>
          <t xml:space="preserve">2</t>
        </is>
      </c>
      <c r="B7" t="inlineStr" s="5">
        <is>
          <t xml:space="preserve">HSW-012-NAVY-239</t>
        </is>
      </c>
      <c r="C7" t="inlineStr" s="5">
        <is>
          <t xml:space="preserve">64022090</t>
        </is>
      </c>
      <c r="D7" t="inlineStr" s="5">
        <is>
          <t xml:space="preserve">8 Prs</t>
        </is>
      </c>
      <c r="E7" s="2">
        <v>148.00</v>
      </c>
      <c r="F7" t="inlineStr" s="5">
        <is>
          <t xml:space="preserve">Prs</t>
        </is>
      </c>
      <c r="G7" s="2">
        <v>1184.00</v>
      </c>
      <c r="H7" s="12">
        <v>38.23</v>
      </c>
      <c r="I7" t="inlineStr" s="14">
        <is>
          <t xml:space="preserve"/>
        </is>
      </c>
      <c r="J7" s="2">
        <f>IF(I7="",1124.80,ROUND(ROUND(239*(100-I7)/(100+5),2)*8,2))</f>
        <v>1124.80</v>
      </c>
    </row>
    <row r="8">
      <c r="A8" t="inlineStr" s="5">
        <is>
          <t xml:space="preserve">3</t>
        </is>
      </c>
      <c r="B8" t="inlineStr" s="5">
        <is>
          <t xml:space="preserve">HSW-014-BLK-299</t>
        </is>
      </c>
      <c r="C8" t="inlineStr" s="5">
        <is>
          <t xml:space="preserve">64022090</t>
        </is>
      </c>
      <c r="D8" t="inlineStr" s="5">
        <is>
          <t xml:space="preserve">8 Prs</t>
        </is>
      </c>
      <c r="E8" t="inlineStr" s="5">
        <is>
          <t xml:space="preserve">185.10 Prs</t>
        </is>
      </c>
      <c r="F8" t="inlineStr" s="5">
        <is>
          <t xml:space="preserve"/>
        </is>
      </c>
      <c r="G8" s="2">
        <v>1480.80</v>
      </c>
      <c r="H8" s="12">
        <v>38.25</v>
      </c>
      <c r="I8" t="inlineStr" s="14">
        <is>
          <t xml:space="preserve"/>
        </is>
      </c>
      <c r="J8" s="2">
        <f>IF(I8="",1406.76,ROUND(ROUND(299*(100-I8)/(100+5),2)*8,2))</f>
        <v>1406.76</v>
      </c>
    </row>
    <row r="9">
      <c r="A9" t="inlineStr" s="5">
        <is>
          <t xml:space="preserve">4</t>
        </is>
      </c>
      <c r="B9" t="inlineStr" s="5">
        <is>
          <t xml:space="preserve">HSW-014-BRN-299</t>
        </is>
      </c>
      <c r="C9" t="inlineStr" s="5">
        <is>
          <t xml:space="preserve">64022090</t>
        </is>
      </c>
      <c r="D9" t="inlineStr" s="5">
        <is>
          <t xml:space="preserve">8 Prs</t>
        </is>
      </c>
      <c r="E9" t="inlineStr" s="5">
        <is>
          <t xml:space="preserve">185.10 Prs</t>
        </is>
      </c>
      <c r="F9" t="inlineStr" s="5">
        <is>
          <t xml:space="preserve"/>
        </is>
      </c>
      <c r="G9" s="2">
        <v>1480.80</v>
      </c>
      <c r="H9" s="12">
        <v>38.25</v>
      </c>
      <c r="I9" t="inlineStr" s="14">
        <is>
          <t xml:space="preserve"/>
        </is>
      </c>
      <c r="J9" s="2">
        <f>IF(I9="",1406.76,ROUND(ROUND(299*(100-I9)/(100+5),2)*8,2))</f>
        <v>1406.76</v>
      </c>
    </row>
    <row r="10">
      <c r="A10" t="inlineStr" s="5">
        <is>
          <t xml:space="preserve"/>
        </is>
      </c>
      <c r="B10" t="inlineStr" s="5">
        <is>
          <t xml:space="preserve">HSW-014-CHRY-299</t>
        </is>
      </c>
      <c r="C10" t="inlineStr" s="5">
        <is>
          <t xml:space="preserve">64022090</t>
        </is>
      </c>
      <c r="D10" t="inlineStr" s="5">
        <is>
          <t xml:space="preserve">8 Prs</t>
        </is>
      </c>
      <c r="E10" t="inlineStr" s="5">
        <is>
          <t xml:space="preserve">185.1O Prs</t>
        </is>
      </c>
      <c r="F10" t="inlineStr" s="5">
        <is>
          <t xml:space="preserve"/>
        </is>
      </c>
      <c r="G10" s="2">
        <v>1480.80</v>
      </c>
      <c r="H10" s="12">
        <v>38.25</v>
      </c>
      <c r="I10" t="inlineStr" s="14">
        <is>
          <t xml:space="preserve"/>
        </is>
      </c>
      <c r="J10" s="2">
        <f>IF(I10="",1406.76,ROUND(ROUND(299*(100-I10)/(100+5),2)*8,2))</f>
        <v>1406.76</v>
      </c>
    </row>
    <row r="11">
      <c r="A11" t="inlineStr" s="5">
        <is>
          <t xml:space="preserve">6</t>
        </is>
      </c>
      <c r="B11" t="inlineStr" s="5">
        <is>
          <t xml:space="preserve">HSW-014-GAJ-299</t>
        </is>
      </c>
      <c r="C11" t="inlineStr" s="5">
        <is>
          <t xml:space="preserve">64022090</t>
        </is>
      </c>
      <c r="D11" t="inlineStr" s="5">
        <is>
          <t xml:space="preserve">8 Prs</t>
        </is>
      </c>
      <c r="E11" t="inlineStr" s="5">
        <is>
          <t xml:space="preserve">185.10 Prs</t>
        </is>
      </c>
      <c r="F11" t="inlineStr" s="5">
        <is>
          <t xml:space="preserve"/>
        </is>
      </c>
      <c r="G11" s="2">
        <v>1480.80</v>
      </c>
      <c r="H11" s="12">
        <v>38.25</v>
      </c>
      <c r="I11" t="inlineStr" s="14">
        <is>
          <t xml:space="preserve"/>
        </is>
      </c>
      <c r="J11" s="2">
        <f>IF(I11="",1406.76,ROUND(ROUND(299*(100-I11)/(100+5),2)*8,2))</f>
        <v>1406.76</v>
      </c>
    </row>
    <row r="12">
      <c r="A12" t="inlineStr" s="5">
        <is>
          <t xml:space="preserve">7</t>
        </is>
      </c>
      <c r="B12" t="inlineStr" s="5">
        <is>
          <t xml:space="preserve">HSW-014-OLV-299</t>
        </is>
      </c>
      <c r="C12" t="inlineStr" s="5">
        <is>
          <t xml:space="preserve">64022090</t>
        </is>
      </c>
      <c r="D12" t="inlineStr" s="5">
        <is>
          <t xml:space="preserve">9 Prs</t>
        </is>
      </c>
      <c r="E12" t="inlineStr" s="5">
        <is>
          <t xml:space="preserve">185.10 Prs</t>
        </is>
      </c>
      <c r="F12" t="inlineStr" s="5">
        <is>
          <t xml:space="preserve"/>
        </is>
      </c>
      <c r="G12" s="2">
        <v>1665.90</v>
      </c>
      <c r="H12" s="12">
        <v>38.25</v>
      </c>
      <c r="I12" t="inlineStr" s="14">
        <is>
          <t xml:space="preserve"/>
        </is>
      </c>
      <c r="J12" s="2">
        <f>IF(I12="",1582.60,ROUND(ROUND(299*(100-I12)/(100+5),2)*9,2))</f>
        <v>1582.60</v>
      </c>
    </row>
    <row r="13">
      <c r="A13" t="inlineStr" s="5">
        <is>
          <t xml:space="preserve">8</t>
        </is>
      </c>
      <c r="B13" t="inlineStr" s="5">
        <is>
          <t xml:space="preserve">HSW-020-BLK-189</t>
        </is>
      </c>
      <c r="C13" t="inlineStr" s="5">
        <is>
          <t xml:space="preserve">64022090</t>
        </is>
      </c>
      <c r="D13" t="inlineStr" s="5">
        <is>
          <t xml:space="preserve">10 Prs</t>
        </is>
      </c>
      <c r="E13" t="inlineStr" s="5">
        <is>
          <t xml:space="preserve">117.00 Prs</t>
        </is>
      </c>
      <c r="F13" t="inlineStr" s="5">
        <is>
          <t xml:space="preserve"/>
        </is>
      </c>
      <c r="G13" s="2">
        <v>1170.00</v>
      </c>
      <c r="H13" s="12">
        <v>38.25</v>
      </c>
      <c r="I13" t="inlineStr" s="14">
        <is>
          <t xml:space="preserve"/>
        </is>
      </c>
      <c r="J13" s="2">
        <f>IF(I13="",1111.50,ROUND(ROUND(189*(100-I13)/(100+5),2)*10,2))</f>
        <v>1111.50</v>
      </c>
    </row>
    <row r="14">
      <c r="A14" t="inlineStr" s="5">
        <is>
          <t xml:space="preserve">9</t>
        </is>
      </c>
      <c r="B14" t="inlineStr" s="5">
        <is>
          <t xml:space="preserve">HSW-026-PEACH-189</t>
        </is>
      </c>
      <c r="C14" t="inlineStr" s="5">
        <is>
          <t xml:space="preserve">64022090</t>
        </is>
      </c>
      <c r="D14" t="inlineStr" s="5">
        <is>
          <t xml:space="preserve">10 Prs</t>
        </is>
      </c>
      <c r="E14" t="inlineStr" s="5">
        <is>
          <t xml:space="preserve">117.00 Prs</t>
        </is>
      </c>
      <c r="F14" t="inlineStr" s="5">
        <is>
          <t xml:space="preserve"/>
        </is>
      </c>
      <c r="G14" s="2">
        <v>1170.00</v>
      </c>
      <c r="H14" s="12">
        <v>38.25</v>
      </c>
      <c r="I14" t="inlineStr" s="14">
        <is>
          <t xml:space="preserve"/>
        </is>
      </c>
      <c r="J14" s="2">
        <f>IF(I14="",1111.50,ROUND(ROUND(189*(100-I14)/(100+5),2)*10,2))</f>
        <v>1111.50</v>
      </c>
    </row>
    <row r="15">
      <c r="A15" t="inlineStr" s="5">
        <is>
          <t xml:space="preserve">10</t>
        </is>
      </c>
      <c r="B15" t="inlineStr" s="5">
        <is>
          <t xml:space="preserve">HSW-031-MRN-299</t>
        </is>
      </c>
      <c r="C15" t="inlineStr" s="5">
        <is>
          <t xml:space="preserve">64022090</t>
        </is>
      </c>
      <c r="D15" t="inlineStr" s="5">
        <is>
          <t xml:space="preserve">8 Prs</t>
        </is>
      </c>
      <c r="E15" t="inlineStr" s="5">
        <is>
          <t xml:space="preserve">185.1O Prs</t>
        </is>
      </c>
      <c r="F15" t="inlineStr" s="5">
        <is>
          <t xml:space="preserve"/>
        </is>
      </c>
      <c r="G15" s="2">
        <v>1480.80</v>
      </c>
      <c r="H15" s="12">
        <v>38.25</v>
      </c>
      <c r="I15" t="inlineStr" s="14">
        <is>
          <t xml:space="preserve"/>
        </is>
      </c>
      <c r="J15" s="2">
        <f>IF(I15="",1406.76,ROUND(ROUND(299*(100-I15)/(100+5),2)*8,2))</f>
        <v>1406.76</v>
      </c>
    </row>
    <row r="16">
      <c r="A16" t="inlineStr" s="5">
        <is>
          <t xml:space="preserve">11</t>
        </is>
      </c>
      <c r="B16" t="inlineStr" s="5">
        <is>
          <t xml:space="preserve">HSVW-031-GAJ-299</t>
        </is>
      </c>
      <c r="C16" t="inlineStr" s="5">
        <is>
          <t xml:space="preserve">64022090</t>
        </is>
      </c>
      <c r="D16" t="inlineStr" s="5">
        <is>
          <t xml:space="preserve">8 Prs</t>
        </is>
      </c>
      <c r="E16" t="inlineStr" s="5">
        <is>
          <t xml:space="preserve">185.10 Prs</t>
        </is>
      </c>
      <c r="F16" t="inlineStr" s="5">
        <is>
          <t xml:space="preserve"/>
        </is>
      </c>
      <c r="G16" s="2">
        <v>1480.80</v>
      </c>
      <c r="H16" s="12">
        <v>38.25</v>
      </c>
      <c r="I16" t="inlineStr" s="14">
        <is>
          <t xml:space="preserve"/>
        </is>
      </c>
      <c r="J16" s="2">
        <f>IF(I16="",1406.76,ROUND(ROUND(299*(100-I16)/(100+5),2)*8,2))</f>
        <v>1406.76</v>
      </c>
    </row>
    <row r="17">
      <c r="A17" t="inlineStr" s="5">
        <is>
          <t xml:space="preserve">12</t>
        </is>
      </c>
      <c r="B17" t="inlineStr" s="5">
        <is>
          <t xml:space="preserve">HSVW-032-MRN-299</t>
        </is>
      </c>
      <c r="C17" t="inlineStr" s="5">
        <is>
          <t xml:space="preserve">64022090</t>
        </is>
      </c>
      <c r="D17" t="inlineStr" s="5">
        <is>
          <t xml:space="preserve">8 Prs</t>
        </is>
      </c>
      <c r="E17" t="inlineStr" s="5">
        <is>
          <t xml:space="preserve">185.10 Prs</t>
        </is>
      </c>
      <c r="F17" t="inlineStr" s="5">
        <is>
          <t xml:space="preserve"/>
        </is>
      </c>
      <c r="G17" s="2">
        <v>1480.80</v>
      </c>
      <c r="H17" s="12">
        <v>38.25</v>
      </c>
      <c r="I17" t="inlineStr" s="14">
        <is>
          <t xml:space="preserve"/>
        </is>
      </c>
      <c r="J17" s="2">
        <f>IF(I17="",1406.76,ROUND(ROUND(299*(100-I17)/(100+5),2)*8,2))</f>
        <v>1406.76</v>
      </c>
    </row>
    <row r="18">
      <c r="A18" t="inlineStr" s="5">
        <is>
          <t xml:space="preserve">13</t>
        </is>
      </c>
      <c r="B18" t="inlineStr" s="5">
        <is>
          <t xml:space="preserve">HSW-036-CHRY-259</t>
        </is>
      </c>
      <c r="C18" t="inlineStr" s="5">
        <is>
          <t xml:space="preserve">64022090</t>
        </is>
      </c>
      <c r="D18" t="inlineStr" s="5">
        <is>
          <t xml:space="preserve">8 Prs</t>
        </is>
      </c>
      <c r="E18" s="2">
        <v>160.40</v>
      </c>
      <c r="F18" t="inlineStr" s="5">
        <is>
          <t xml:space="preserve">Prs</t>
        </is>
      </c>
      <c r="G18" s="2">
        <v>1283.20</v>
      </c>
      <c r="H18" s="12">
        <v>38.22</v>
      </c>
      <c r="I18" t="inlineStr" s="14">
        <is>
          <t xml:space="preserve"/>
        </is>
      </c>
      <c r="J18" s="2">
        <f>IF(I18="",1219.04,ROUND(ROUND(259*(100-I18)/(100+5),2)*8,2))</f>
        <v>1219.04</v>
      </c>
    </row>
    <row r="19">
      <c r="A19" t="inlineStr" s="5">
        <is>
          <t xml:space="preserve">14</t>
        </is>
      </c>
      <c r="B19" t="inlineStr" s="5">
        <is>
          <t xml:space="preserve">HSW-036-DGRY-259</t>
        </is>
      </c>
      <c r="C19" t="inlineStr" s="5">
        <is>
          <t xml:space="preserve">64022090</t>
        </is>
      </c>
      <c r="D19" t="inlineStr" s="5">
        <is>
          <t xml:space="preserve">8 Prs</t>
        </is>
      </c>
      <c r="E19" t="inlineStr" s="5">
        <is>
          <t xml:space="preserve">160.40 Prs</t>
        </is>
      </c>
      <c r="F19" t="inlineStr" s="5">
        <is>
          <t xml:space="preserve"/>
        </is>
      </c>
      <c r="G19" s="2">
        <v>1283.20</v>
      </c>
      <c r="H19" s="12">
        <v>38.22</v>
      </c>
      <c r="I19" t="inlineStr" s="14">
        <is>
          <t xml:space="preserve"/>
        </is>
      </c>
      <c r="J19" s="2">
        <f>IF(I19="",1219.04,ROUND(ROUND(259*(100-I19)/(100+5),2)*8,2))</f>
        <v>1219.04</v>
      </c>
    </row>
    <row r="20">
      <c r="A20" t="inlineStr" s="5">
        <is>
          <t xml:space="preserve">15</t>
        </is>
      </c>
      <c r="B20" t="inlineStr" s="5">
        <is>
          <t xml:space="preserve">HSVW-15-PEACH-269</t>
        </is>
      </c>
      <c r="C20" t="inlineStr" s="5">
        <is>
          <t xml:space="preserve">64022090</t>
        </is>
      </c>
      <c r="D20" t="inlineStr" s="5">
        <is>
          <t xml:space="preserve">8 Prs</t>
        </is>
      </c>
      <c r="E20" t="inlineStr" s="5">
        <is>
          <t xml:space="preserve">166.60 Prs</t>
        </is>
      </c>
      <c r="F20" t="inlineStr" s="5">
        <is>
          <t xml:space="preserve"/>
        </is>
      </c>
      <c r="G20" s="2">
        <v>1332.80</v>
      </c>
      <c r="H20" s="12">
        <v>38.22</v>
      </c>
      <c r="I20" t="inlineStr" s="14">
        <is>
          <t xml:space="preserve"/>
        </is>
      </c>
      <c r="J20" s="2">
        <f>IF(I20="",1266.16,ROUND(ROUND(269*(100-I20)/(100+5),2)*8,2))</f>
        <v>1266.16</v>
      </c>
    </row>
    <row r="21">
      <c r="A21" t="inlineStr" s="5">
        <is>
          <t xml:space="preserve">16</t>
        </is>
      </c>
      <c r="B21" t="inlineStr" s="5">
        <is>
          <t xml:space="preserve">HSW-15-MGRN-269</t>
        </is>
      </c>
      <c r="C21" t="inlineStr" s="5">
        <is>
          <t xml:space="preserve">64022090</t>
        </is>
      </c>
      <c r="D21" t="inlineStr" s="5">
        <is>
          <t xml:space="preserve">8 Prs</t>
        </is>
      </c>
      <c r="E21" t="inlineStr" s="5">
        <is>
          <t xml:space="preserve">166.6o Prs</t>
        </is>
      </c>
      <c r="F21" t="inlineStr" s="5">
        <is>
          <t xml:space="preserve"/>
        </is>
      </c>
      <c r="G21" s="2">
        <v>1332.80</v>
      </c>
      <c r="H21" s="12">
        <v>38.22</v>
      </c>
      <c r="I21" t="inlineStr" s="14">
        <is>
          <t xml:space="preserve"/>
        </is>
      </c>
      <c r="J21" s="2">
        <f>IF(I21="",1266.16,ROUND(ROUND(269*(100-I21)/(100+5),2)*8,2))</f>
        <v>1266.16</v>
      </c>
    </row>
    <row r="22">
      <c r="A22" t="inlineStr" s="5">
        <is>
          <t xml:space="preserve">17</t>
        </is>
      </c>
      <c r="B22" t="inlineStr" s="5">
        <is>
          <t xml:space="preserve">HSW-17-BLK-239</t>
        </is>
      </c>
      <c r="C22" t="inlineStr" s="5">
        <is>
          <t xml:space="preserve">64022090</t>
        </is>
      </c>
      <c r="D22" t="inlineStr" s="5">
        <is>
          <t xml:space="preserve">8 Prs</t>
        </is>
      </c>
      <c r="E22" t="inlineStr" s="5">
        <is>
          <t xml:space="preserve">148.00 Prs</t>
        </is>
      </c>
      <c r="F22" t="inlineStr" s="5">
        <is>
          <t xml:space="preserve"/>
        </is>
      </c>
      <c r="G22" s="2">
        <v>1184.00</v>
      </c>
      <c r="H22" s="12">
        <v>38.23</v>
      </c>
      <c r="I22" t="inlineStr" s="14">
        <is>
          <t xml:space="preserve"/>
        </is>
      </c>
      <c r="J22" s="2">
        <f>IF(I22="",1124.80,ROUND(ROUND(239*(100-I22)/(100+5),2)*8,2))</f>
        <v>1124.80</v>
      </c>
    </row>
    <row r="23">
      <c r="A23" t="inlineStr" s="5">
        <is>
          <t xml:space="preserve">18</t>
        </is>
      </c>
      <c r="B23" t="inlineStr" s="5">
        <is>
          <t xml:space="preserve">HSW-17-NAVY-239</t>
        </is>
      </c>
      <c r="C23" t="inlineStr" s="5">
        <is>
          <t xml:space="preserve">64022090</t>
        </is>
      </c>
      <c r="D23" t="inlineStr" s="5">
        <is>
          <t xml:space="preserve">8 Prs</t>
        </is>
      </c>
      <c r="E23" s="2">
        <v>148.00</v>
      </c>
      <c r="F23" t="inlineStr" s="5">
        <is>
          <t xml:space="preserve">Prs</t>
        </is>
      </c>
      <c r="G23" s="2">
        <v>1184.00</v>
      </c>
      <c r="H23" s="12">
        <v>38.23</v>
      </c>
      <c r="I23" t="inlineStr" s="14">
        <is>
          <t xml:space="preserve"/>
        </is>
      </c>
      <c r="J23" s="2">
        <f>IF(I23="",1124.80,ROUND(ROUND(239*(100-I23)/(100+5),2)*8,2))</f>
        <v>1124.80</v>
      </c>
    </row>
    <row r="24">
      <c r="A24" t="inlineStr" s="5">
        <is>
          <t xml:space="preserve">19</t>
        </is>
      </c>
      <c r="B24" t="inlineStr" s="5">
        <is>
          <t xml:space="preserve">HSW-39-BLK-199</t>
        </is>
      </c>
      <c r="C24" t="inlineStr" s="5">
        <is>
          <t xml:space="preserve">64022090</t>
        </is>
      </c>
      <c r="D24" t="inlineStr" s="5">
        <is>
          <t xml:space="preserve">10 Prs</t>
        </is>
      </c>
      <c r="E24" t="inlineStr" s="5">
        <is>
          <t xml:space="preserve">123.20Prs</t>
        </is>
      </c>
      <c r="F24" t="inlineStr" s="5">
        <is>
          <t xml:space="preserve"/>
        </is>
      </c>
      <c r="G24" s="2">
        <v>1232.00</v>
      </c>
      <c r="H24" s="12">
        <v>38.25</v>
      </c>
      <c r="I24" t="inlineStr" s="14">
        <is>
          <t xml:space="preserve"/>
        </is>
      </c>
      <c r="J24" s="2">
        <f>IF(I24="",1170.40,ROUND(ROUND(199*(100-I24)/(100+5),2)*10,2))</f>
        <v>1170.40</v>
      </c>
    </row>
    <row r="25">
      <c r="A25" t="inlineStr" s="5">
        <is>
          <t xml:space="preserve">20</t>
        </is>
      </c>
      <c r="B25" t="inlineStr" s="5">
        <is>
          <t xml:space="preserve">HSW-39-NAVY-199</t>
        </is>
      </c>
      <c r="C25" t="inlineStr" s="5">
        <is>
          <t xml:space="preserve">64041190</t>
        </is>
      </c>
      <c r="D25" t="inlineStr" s="5">
        <is>
          <t xml:space="preserve">10 Prs</t>
        </is>
      </c>
      <c r="E25" t="inlineStr" s="5">
        <is>
          <t xml:space="preserve">123.20 Prs</t>
        </is>
      </c>
      <c r="F25" t="inlineStr" s="5">
        <is>
          <t xml:space="preserve"/>
        </is>
      </c>
      <c r="G25" s="2">
        <v>1232.00</v>
      </c>
      <c r="H25" s="12">
        <v>38.25</v>
      </c>
      <c r="I25" t="inlineStr" s="14">
        <is>
          <t xml:space="preserve"/>
        </is>
      </c>
      <c r="J25" s="2">
        <f>IF(I25="",1170.40,ROUND(ROUND(199*(100-I25)/(100+5),2)*10,2))</f>
        <v>1170.40</v>
      </c>
    </row>
    <row r="26">
      <c r="A26" t="inlineStr" s="5">
        <is>
          <t xml:space="preserve">21</t>
        </is>
      </c>
      <c r="B26" t="inlineStr" s="5">
        <is>
          <t xml:space="preserve">HSW-52-BLK-299</t>
        </is>
      </c>
      <c r="C26" t="inlineStr" s="5">
        <is>
          <t xml:space="preserve">64022o90</t>
        </is>
      </c>
      <c r="D26" t="inlineStr" s="5">
        <is>
          <t xml:space="preserve">8 Prs</t>
        </is>
      </c>
      <c r="E26" s="2">
        <v>185.10</v>
      </c>
      <c r="F26" t="inlineStr" s="5">
        <is>
          <t xml:space="preserve">Prs</t>
        </is>
      </c>
      <c r="G26" s="2">
        <v>1480.80</v>
      </c>
      <c r="H26" s="12">
        <v>38.25</v>
      </c>
      <c r="I26" t="inlineStr" s="14">
        <is>
          <t xml:space="preserve"/>
        </is>
      </c>
      <c r="J26" s="2">
        <f>IF(I26="",1406.76,ROUND(ROUND(299*(100-I26)/(100+5),2)*8,2))</f>
        <v>1406.76</v>
      </c>
    </row>
    <row r="27">
      <c r="A27" t="inlineStr" s="5">
        <is>
          <t xml:space="preserve">22</t>
        </is>
      </c>
      <c r="B27" t="inlineStr" s="5">
        <is>
          <t xml:space="preserve">HSW-52-OLV-299</t>
        </is>
      </c>
      <c r="C27" t="inlineStr" s="5">
        <is>
          <t xml:space="preserve">64022o90</t>
        </is>
      </c>
      <c r="D27" t="inlineStr" s="5">
        <is>
          <t xml:space="preserve">8 Prs</t>
        </is>
      </c>
      <c r="E27" t="inlineStr" s="5">
        <is>
          <t xml:space="preserve">185.10 Prs</t>
        </is>
      </c>
      <c r="F27" t="inlineStr" s="5">
        <is>
          <t xml:space="preserve"/>
        </is>
      </c>
      <c r="G27" s="2">
        <v>1480.80</v>
      </c>
      <c r="H27" s="12">
        <v>38.25</v>
      </c>
      <c r="I27" t="inlineStr" s="14">
        <is>
          <t xml:space="preserve"/>
        </is>
      </c>
      <c r="J27" s="2">
        <f>IF(I27="",1406.76,ROUND(ROUND(299*(100-I27)/(100+5),2)*8,2))</f>
        <v>1406.76</v>
      </c>
    </row>
    <row r="28">
      <c r="A28" t="inlineStr" s="5">
        <is>
          <t xml:space="preserve">23</t>
        </is>
      </c>
      <c r="B28" t="inlineStr" s="5">
        <is>
          <t xml:space="preserve">HSW-49-N.GRY-299</t>
        </is>
      </c>
      <c r="C28" t="inlineStr" s="5">
        <is>
          <t xml:space="preserve">64022090</t>
        </is>
      </c>
      <c r="D28" t="inlineStr" s="5">
        <is>
          <t xml:space="preserve">8 Prs</t>
        </is>
      </c>
      <c r="E28" t="inlineStr" s="5">
        <is>
          <t xml:space="preserve">185.10 Prs</t>
        </is>
      </c>
      <c r="F28" t="inlineStr" s="5">
        <is>
          <t xml:space="preserve"/>
        </is>
      </c>
      <c r="G28" s="2">
        <v>1480.80</v>
      </c>
      <c r="H28" s="12">
        <v>38.25</v>
      </c>
      <c r="I28" t="inlineStr" s="14">
        <is>
          <t xml:space="preserve"/>
        </is>
      </c>
      <c r="J28" s="2">
        <f>IF(I28="",1406.76,ROUND(ROUND(299*(100-I28)/(100+5),2)*8,2))</f>
        <v>1406.76</v>
      </c>
    </row>
    <row r="29">
      <c r="A29" t="inlineStr" s="5">
        <is>
          <t xml:space="preserve">24</t>
        </is>
      </c>
      <c r="B29" t="inlineStr" s="5">
        <is>
          <t xml:space="preserve">GCW-016-NAVY-599</t>
        </is>
      </c>
      <c r="C29" t="inlineStr" s="5">
        <is>
          <t xml:space="preserve">64022090</t>
        </is>
      </c>
      <c r="D29" t="inlineStr" s="5">
        <is>
          <t xml:space="preserve">8 Prs</t>
        </is>
      </c>
      <c r="E29" t="inlineStr" s="5">
        <is>
          <t xml:space="preserve">370.9o Prs</t>
        </is>
      </c>
      <c r="F29" t="inlineStr" s="5">
        <is>
          <t xml:space="preserve"/>
        </is>
      </c>
      <c r="G29" s="2">
        <v>2967.20</v>
      </c>
      <c r="H29" s="12">
        <v>38.23</v>
      </c>
      <c r="I29" t="inlineStr" s="14">
        <is>
          <t xml:space="preserve"/>
        </is>
      </c>
      <c r="J29" s="2">
        <f>IF(I29="",2818.84,ROUND(ROUND(599*(100-I29)/(100+5),2)*8,2))</f>
        <v>2818.84</v>
      </c>
    </row>
    <row r="30">
      <c r="A30" t="inlineStr" s="5">
        <is>
          <t xml:space="preserve">25</t>
        </is>
      </c>
      <c r="B30" t="inlineStr" s="5">
        <is>
          <t xml:space="preserve">GCW-016-D/GRY-599</t>
        </is>
      </c>
      <c r="C30" t="inlineStr" s="5">
        <is>
          <t xml:space="preserve">64022090</t>
        </is>
      </c>
      <c r="D30" t="inlineStr" s="5">
        <is>
          <t xml:space="preserve">8 Prs</t>
        </is>
      </c>
      <c r="E30" t="inlineStr" s="5">
        <is>
          <t xml:space="preserve">370.90 Prs</t>
        </is>
      </c>
      <c r="F30" t="inlineStr" s="5">
        <is>
          <t xml:space="preserve"/>
        </is>
      </c>
      <c r="G30" s="2">
        <v>2967.20</v>
      </c>
      <c r="H30" s="12">
        <v>38.23</v>
      </c>
      <c r="I30" t="inlineStr" s="14">
        <is>
          <t xml:space="preserve"/>
        </is>
      </c>
      <c r="J30" s="2">
        <f>IF(I30="",2818.84,ROUND(ROUND(599*(100-I30)/(100+5),2)*8,2))</f>
        <v>2818.84</v>
      </c>
    </row>
    <row r="31">
      <c r="B31" t="inlineStr" s="16">
        <is>
          <t xml:space="preserve">Total</t>
        </is>
      </c>
      <c r="D31" t="inlineStr" s="16">
        <is>
          <t xml:space="preserve">209 pairs</t>
        </is>
      </c>
      <c r="G31" s="15">
        <v>37576.30</v>
      </c>
      <c r="H31" s="12">
        <v>38.24</v>
      </c>
      <c r="J31" s="15">
        <f>SUM(J6:J30)</f>
        <v>35697.48</v>
      </c>
    </row>
    <row r="32">
      <c r="B32" t="inlineStr" s="16">
        <is>
          <t xml:space="preserve">GST (CGST 892.46 + SGST 892.46)</t>
        </is>
      </c>
      <c r="G32" s="15">
        <v>1784.92</v>
      </c>
      <c r="J32" s="15">
        <f>ROUND((J6+J7+J8+J9+J10+J11+J12+J13+J14+J15+J16+J17+J18+J19+J20+J21+J22+J23+J24+J25+J26+J27+J28+J29+J30)*5/100,2)</f>
        <v>1784.87</v>
      </c>
    </row>
    <row r="33">
      <c r="B33" t="inlineStr" s="16">
        <is>
          <t xml:space="preserve">Round off</t>
        </is>
      </c>
      <c r="G33" s="15">
        <v>-0.40</v>
      </c>
    </row>
    <row r="34">
      <c r="B34" t="inlineStr" s="16">
        <is>
          <t xml:space="preserve">Grand Total (printed on bill)</t>
        </is>
      </c>
      <c r="G34" s="15">
        <v>37482.00</v>
      </c>
      <c r="I34" t="inlineStr" s="16">
        <is>
          <t xml:space="preserve">नया Total →</t>
        </is>
      </c>
      <c r="J34" s="15">
        <f>ROUND(J31+J32,0)</f>
        <v>37482.00</v>
      </c>
    </row>
    <row r="35"/>
    <row r="36">
      <c r="B36" t="inlineStr" s="16">
        <is>
          <t xml:space="preserve">कंपनी-वार</t>
        </is>
      </c>
      <c r="H36" t="inlineStr" s="11">
        <is>
          <t xml:space="preserve">बैठा % (उन्होंने MRP पर असल कितना दिया)</t>
        </is>
      </c>
      <c r="I36" t="inlineStr" s="10">
        <is>
          <t xml:space="preserve">अपना % (बदल सकते हैं)</t>
        </is>
      </c>
      <c r="J36" t="inlineStr" s="1">
        <is>
          <t xml:space="preserve">नई रकम</t>
        </is>
      </c>
    </row>
    <row r="37">
      <c r="B37" t="inlineStr" s="16">
        <is>
          <t xml:space="preserve">HSW (19 lines · 161 pairs)</t>
        </is>
      </c>
      <c r="G37" s="15">
        <v>25767.50</v>
      </c>
      <c r="H37" s="12">
        <v>38.24</v>
      </c>
      <c r="I37" t="inlineStr" s="5">
        <is>
          <t xml:space="preserve"/>
        </is>
      </c>
      <c r="J37" t="inlineStr" s="5">
        <is>
          <t xml:space="preserve"/>
        </is>
      </c>
    </row>
    <row r="38">
      <c r="B38" t="inlineStr" s="16">
        <is>
          <t xml:space="preserve">GCW (2 lines · 16 pairs)</t>
        </is>
      </c>
      <c r="G38" s="15">
        <v>5934.40</v>
      </c>
      <c r="H38" s="12">
        <v>38.23</v>
      </c>
      <c r="I38" t="inlineStr" s="5">
        <is>
          <t xml:space="preserve"/>
        </is>
      </c>
      <c r="J38" t="inlineStr" s="5">
        <is>
          <t xml:space="preserve"/>
        </is>
      </c>
    </row>
    <row r="39">
      <c r="B39" t="inlineStr" s="16">
        <is>
          <t xml:space="preserve">HSVW (3 lines · 24 pairs)</t>
        </is>
      </c>
      <c r="G39" s="15">
        <v>4294.40</v>
      </c>
      <c r="H39" s="12">
        <v>38.24</v>
      </c>
      <c r="I39" t="inlineStr" s="5">
        <is>
          <t xml:space="preserve"/>
        </is>
      </c>
      <c r="J39" t="inlineStr" s="5">
        <is>
          <t xml:space="preserve"/>
        </is>
      </c>
    </row>
    <row r="40">
      <c r="B40" t="inlineStr" s="16">
        <is>
          <t xml:space="preserve">FL (1 lines · 8 pairs)</t>
        </is>
      </c>
      <c r="G40" s="15">
        <v>1580.00</v>
      </c>
      <c r="H40" s="12">
        <v>38.24</v>
      </c>
      <c r="I40" t="inlineStr" s="5">
        <is>
          <t xml:space="preserve"/>
        </is>
      </c>
      <c r="J40" t="inlineStr" s="5">
        <is>
          <t xml:space="preserve"/>
        </is>
      </c>
    </row>
  </sheetData>
  <autoFilter ref="A5:J40"/>
  <pageMargins left="0.4" right="0.4" top="0.5" bottom="0.5" header="0.3" footer="0.3"/>
  <pageSetup orientation="landscape" paperSize="9" fitToWidth="1" fitToHeight="0"/>
</worksheet>
</file>