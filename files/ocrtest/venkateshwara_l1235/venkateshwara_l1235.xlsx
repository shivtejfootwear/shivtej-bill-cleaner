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%'!$A$5:$M$18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1.0" customWidth="1"/>
    <col min="4" max="4" width="11.0" customWidth="1"/>
    <col min="5" max="5" width="14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4.0" customWidth="1"/>
    <col min="12" max="12" width="13.0" customWidth="1"/>
    <col min="13" max="13" width="16.0" customWidth="1"/>
  </cols>
  <sheetData>
    <row r="1">
      <c r="A1" t="inlineStr" s="7">
        <is>
          <t xml:space="preserve">VENKATESHWARA CORPORATION (26-27) — Invoice L-1235 — 8-Oct-26</t>
        </is>
      </c>
    </row>
    <row r="2">
      <c r="A2" t="inlineStr" s="0">
        <is>
          <t xml:space="preserve">Buyer: Shivtej Footwear Akluj   ·   Supplier GSTIN: 27AAVFV7392K1ZO   ·   Buyer GSTIN: 27ECIPS0222J1ZI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Sr.No</t>
        </is>
      </c>
      <c r="B5" t="inlineStr" s="1">
        <is>
          <t xml:space="preserve">Item Description</t>
        </is>
      </c>
      <c r="C5" t="inlineStr" s="1">
        <is>
          <t xml:space="preserve">HSN</t>
        </is>
      </c>
      <c r="D5" t="inlineStr" s="1">
        <is>
          <t xml:space="preserve">GST%</t>
        </is>
      </c>
      <c r="E5" t="inlineStr" s="1">
        <is>
          <t xml:space="preserve">Size</t>
        </is>
      </c>
      <c r="F5" t="inlineStr" s="1">
        <is>
          <t xml:space="preserve">MRP</t>
        </is>
      </c>
      <c r="G5" t="inlineStr" s="1">
        <is>
          <t xml:space="preserve">Qty</t>
        </is>
      </c>
      <c r="H5" t="inlineStr" s="1">
        <is>
          <t xml:space="preserve">Rate</t>
        </is>
      </c>
      <c r="I5" t="inlineStr" s="10">
        <is>
          <t xml:space="preserve">Disc.</t>
        </is>
      </c>
      <c r="J5" t="inlineStr" s="1">
        <is>
          <t xml:space="preserve">Amount</t>
        </is>
      </c>
      <c r="K5" t="inlineStr" s="11">
        <is>
          <t xml:space="preserve">बैठा % (उन्होंने MRP पर असल कितना दिया)</t>
        </is>
      </c>
      <c r="L5" t="inlineStr" s="10">
        <is>
          <t xml:space="preserve">अपना % (बदल सकते हैं)</t>
        </is>
      </c>
      <c r="M5" t="inlineStr" s="1">
        <is>
          <t xml:space="preserve">नई रकम (अपने % से, GST से पहले)</t>
        </is>
      </c>
    </row>
    <row r="6">
      <c r="A6" t="inlineStr" s="5">
        <is>
          <t xml:space="preserve">1.</t>
        </is>
      </c>
      <c r="B6" t="inlineStr" s="5">
        <is>
          <t xml:space="preserve">G-PRO 4 DGR</t>
        </is>
      </c>
      <c r="C6" t="inlineStr" s="5">
        <is>
          <t xml:space="preserve">64029990</t>
        </is>
      </c>
      <c r="D6" t="inlineStr" s="5">
        <is>
          <t xml:space="preserve">5%</t>
        </is>
      </c>
      <c r="E6" t="inlineStr" s="5">
        <is>
          <t xml:space="preserve">5X8</t>
        </is>
      </c>
      <c r="F6" s="18">
        <v>499</v>
      </c>
      <c r="G6" t="inlineStr" s="5">
        <is>
          <t xml:space="preserve">8 pair</t>
        </is>
      </c>
      <c r="H6" s="2">
        <v>333.33</v>
      </c>
      <c r="I6" t="inlineStr" s="6">
        <is>
          <t xml:space="preserve"/>
        </is>
      </c>
      <c r="J6" s="2">
        <v>2666.64</v>
      </c>
      <c r="K6" s="12">
        <v>29.86</v>
      </c>
      <c r="L6" t="inlineStr" s="14">
        <is>
          <t xml:space="preserve"/>
        </is>
      </c>
      <c r="M6" s="2">
        <f>IF(L6="",2666.64,ROUND(ROUND(499*(100-L6)/(100+5),2)*8,2))</f>
        <v>2666.64</v>
      </c>
    </row>
    <row r="7">
      <c r="A7" t="inlineStr" s="5">
        <is>
          <t xml:space="preserve">2.</t>
        </is>
      </c>
      <c r="B7" t="inlineStr" s="5">
        <is>
          <t xml:space="preserve">FN-44/DG TITAN GRY</t>
        </is>
      </c>
      <c r="C7" t="inlineStr" s="5">
        <is>
          <t xml:space="preserve">64029990</t>
        </is>
      </c>
      <c r="D7" t="inlineStr" s="5">
        <is>
          <t xml:space="preserve">5 %</t>
        </is>
      </c>
      <c r="E7" t="inlineStr" s="5">
        <is>
          <t xml:space="preserve">5X8</t>
        </is>
      </c>
      <c r="F7" s="18">
        <v>449</v>
      </c>
      <c r="G7" t="inlineStr" s="5">
        <is>
          <t xml:space="preserve">8 pair</t>
        </is>
      </c>
      <c r="H7" s="2">
        <v>300.00</v>
      </c>
      <c r="I7" t="inlineStr" s="6">
        <is>
          <t xml:space="preserve"/>
        </is>
      </c>
      <c r="J7" s="2">
        <v>2400.0</v>
      </c>
      <c r="K7" s="12">
        <v>29.84</v>
      </c>
      <c r="L7" t="inlineStr" s="14">
        <is>
          <t xml:space="preserve"/>
        </is>
      </c>
      <c r="M7" s="2">
        <f>IF(L7="",2400.0,ROUND(ROUND(449*(100-L7)/(100+5),2)*8,2))</f>
        <v>2400.0</v>
      </c>
    </row>
    <row r="8">
      <c r="A8" t="inlineStr" s="5">
        <is>
          <t xml:space="preserve">3.</t>
        </is>
      </c>
      <c r="B8" t="inlineStr" s="5">
        <is>
          <t xml:space="preserve">G-FN 1011 F. BLACK</t>
        </is>
      </c>
      <c r="C8" t="inlineStr" s="5">
        <is>
          <t xml:space="preserve">64029990</t>
        </is>
      </c>
      <c r="D8" t="inlineStr" s="5">
        <is>
          <t xml:space="preserve">5 %</t>
        </is>
      </c>
      <c r="E8" t="inlineStr" s="5">
        <is>
          <t xml:space="preserve">5X8</t>
        </is>
      </c>
      <c r="F8" s="18">
        <v>429</v>
      </c>
      <c r="G8" t="inlineStr" s="5">
        <is>
          <t xml:space="preserve">8 pair</t>
        </is>
      </c>
      <c r="H8" s="2">
        <v>286.67</v>
      </c>
      <c r="I8" t="inlineStr" s="6">
        <is>
          <t xml:space="preserve"/>
        </is>
      </c>
      <c r="J8" t="inlineStr" s="5">
        <is>
          <t xml:space="preserve">2,293.3E</t>
        </is>
      </c>
      <c r="K8" s="12">
        <v>29.84</v>
      </c>
      <c r="L8" t="inlineStr" s="14">
        <is>
          <t xml:space="preserve"/>
        </is>
      </c>
      <c r="M8" s="2">
        <f>IF(L8="",2293.36,ROUND(ROUND(429*(100-L8)/(100+5),2)*8,2))</f>
        <v>2293.36</v>
      </c>
    </row>
    <row r="9">
      <c r="A9" t="inlineStr" s="5">
        <is>
          <t xml:space="preserve">4.</t>
        </is>
      </c>
      <c r="B9" t="inlineStr" s="5">
        <is>
          <t xml:space="preserve">G-FN 1 1F. BLACK</t>
        </is>
      </c>
      <c r="C9" t="inlineStr" s="5">
        <is>
          <t xml:space="preserve">64029990</t>
        </is>
      </c>
      <c r="D9" t="inlineStr" s="5">
        <is>
          <t xml:space="preserve">5 %</t>
        </is>
      </c>
      <c r="E9" t="inlineStr" s="5">
        <is>
          <t xml:space="preserve">4X7</t>
        </is>
      </c>
      <c r="F9" s="18">
        <v>399</v>
      </c>
      <c r="G9" t="inlineStr" s="5">
        <is>
          <t xml:space="preserve">8 pair</t>
        </is>
      </c>
      <c r="H9" s="2">
        <v>266.67</v>
      </c>
      <c r="I9" t="inlineStr" s="6">
        <is>
          <t xml:space="preserve"/>
        </is>
      </c>
      <c r="J9" t="inlineStr" s="5">
        <is>
          <t xml:space="preserve">2,133.3E</t>
        </is>
      </c>
      <c r="K9" s="12">
        <v>29.82</v>
      </c>
      <c r="L9" t="inlineStr" s="14">
        <is>
          <t xml:space="preserve"/>
        </is>
      </c>
      <c r="M9" s="2">
        <f>IF(L9="",2133.36,ROUND(ROUND(399*(100-L9)/(100+5),2)*8,2))</f>
        <v>2133.36</v>
      </c>
    </row>
    <row r="10">
      <c r="B10" t="inlineStr" s="16">
        <is>
          <t xml:space="preserve">Total</t>
        </is>
      </c>
      <c r="G10" t="inlineStr" s="16">
        <is>
          <t xml:space="preserve">32 pairs</t>
        </is>
      </c>
      <c r="J10" s="15">
        <v>9493.36</v>
      </c>
      <c r="K10" s="12">
        <v>29.84</v>
      </c>
      <c r="M10" s="15">
        <f>SUM(M6:M9)</f>
        <v>9493.36</v>
      </c>
    </row>
    <row r="11">
      <c r="B11" t="inlineStr" s="16">
        <is>
          <t xml:space="preserve">GST (CGST 237.33 + SGST 237.33)</t>
        </is>
      </c>
      <c r="J11" s="15">
        <v>474.66</v>
      </c>
      <c r="M11" s="15">
        <f>ROUND((M6+M7+M8+M9)*5/100,2)</f>
        <v>474.67</v>
      </c>
    </row>
    <row r="12">
      <c r="B12" t="inlineStr" s="16">
        <is>
          <t xml:space="preserve">Round off</t>
        </is>
      </c>
      <c r="J12" s="15">
        <v>-0.02</v>
      </c>
    </row>
    <row r="13">
      <c r="B13" t="inlineStr" s="16">
        <is>
          <t xml:space="preserve">Grand Total (printed on bill)</t>
        </is>
      </c>
      <c r="J13" s="15">
        <v>9968.00</v>
      </c>
      <c r="L13" t="inlineStr" s="16">
        <is>
          <t xml:space="preserve">नया Total →</t>
        </is>
      </c>
      <c r="M13" s="15">
        <f>ROUND(M10+M11,0)</f>
        <v>9968.00</v>
      </c>
    </row>
    <row r="14"/>
    <row r="15">
      <c r="B15" t="inlineStr" s="16">
        <is>
          <t xml:space="preserve">कंपनी-वार</t>
        </is>
      </c>
      <c r="K15" t="inlineStr" s="11">
        <is>
          <t xml:space="preserve">बैठा % (उन्होंने MRP पर असल कितना दिया)</t>
        </is>
      </c>
      <c r="L15" t="inlineStr" s="10">
        <is>
          <t xml:space="preserve">अपना % (बदल सकते हैं)</t>
        </is>
      </c>
      <c r="M15" t="inlineStr" s="1">
        <is>
          <t xml:space="preserve">नई रकम</t>
        </is>
      </c>
    </row>
    <row r="16">
      <c r="B16" t="inlineStr" s="16">
        <is>
          <t xml:space="preserve">GFN (2 lines · 16 pairs)</t>
        </is>
      </c>
      <c r="J16" s="15">
        <v>4426.72</v>
      </c>
      <c r="K16" s="12">
        <v>29.83</v>
      </c>
      <c r="L16" t="inlineStr" s="5">
        <is>
          <t xml:space="preserve"/>
        </is>
      </c>
      <c r="M16" t="inlineStr" s="5">
        <is>
          <t xml:space="preserve"/>
        </is>
      </c>
    </row>
    <row r="17">
      <c r="B17" t="inlineStr" s="16">
        <is>
          <t xml:space="preserve">GPRO (1 lines · 8 pairs)</t>
        </is>
      </c>
      <c r="J17" s="15">
        <v>2666.64</v>
      </c>
      <c r="K17" s="12">
        <v>29.86</v>
      </c>
      <c r="L17" t="inlineStr" s="5">
        <is>
          <t xml:space="preserve"/>
        </is>
      </c>
      <c r="M17" t="inlineStr" s="5">
        <is>
          <t xml:space="preserve"/>
        </is>
      </c>
    </row>
    <row r="18">
      <c r="B18" t="inlineStr" s="16">
        <is>
          <t xml:space="preserve">FN (1 lines · 8 pairs)</t>
        </is>
      </c>
      <c r="J18" s="15">
        <v>2400.00</v>
      </c>
      <c r="K18" s="12">
        <v>29.84</v>
      </c>
      <c r="L18" t="inlineStr" s="5">
        <is>
          <t xml:space="preserve"/>
        </is>
      </c>
      <c r="M18" t="inlineStr" s="5">
        <is>
          <t xml:space="preserve"/>
        </is>
      </c>
    </row>
  </sheetData>
  <autoFilter ref="A5:M18"/>
  <pageMargins left="0.4" right="0.4" top="0.5" bottom="0.5" header="0.3" footer="0.3"/>
  <pageSetup orientation="landscape" paperSize="9" fitToWidth="1" fitToHeight="0"/>
</worksheet>
</file>