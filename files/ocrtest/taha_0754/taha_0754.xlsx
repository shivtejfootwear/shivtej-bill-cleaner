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%'!$A$5:$K$27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4.0" customWidth="1"/>
    <col min="6" max="6" width="11.0" customWidth="1"/>
    <col min="7" max="7" width="11.0" customWidth="1"/>
    <col min="8" max="8" width="11.0" customWidth="1"/>
    <col min="9" max="9" width="14.0" customWidth="1"/>
    <col min="10" max="10" width="13.0" customWidth="1"/>
    <col min="11" max="11" width="16.0" customWidth="1"/>
  </cols>
  <sheetData>
    <row r="1">
      <c r="A1" t="inlineStr" s="7">
        <is>
          <t xml:space="preserve">TAHA FOOT LINES — Invoice 0754 — 2/9/2026</t>
        </is>
      </c>
    </row>
    <row r="2">
      <c r="A2" t="inlineStr" s="0">
        <is>
          <t xml:space="preserve">Buyer: Shive tej foot wear, Akluj   ·   Supplier GSTIN: 27CXVPP1954L1Z1   ·   Buyer GSTIN: 27ECIPS0222J1Z1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No</t>
        </is>
      </c>
      <c r="B5" t="inlineStr" s="1">
        <is>
          <t xml:space="preserve">Name Of Product</t>
        </is>
      </c>
      <c r="C5" t="inlineStr" s="1">
        <is>
          <t xml:space="preserve">HSN</t>
        </is>
      </c>
      <c r="D5" t="inlineStr" s="1">
        <is>
          <t xml:space="preserve">0TY</t>
        </is>
      </c>
      <c r="E5" t="inlineStr" s="1">
        <is>
          <t xml:space="preserve">Size</t>
        </is>
      </c>
      <c r="F5" t="inlineStr" s="1">
        <is>
          <t xml:space="preserve">MRP</t>
        </is>
      </c>
      <c r="G5" t="inlineStr" s="1">
        <is>
          <t xml:space="preserve">Rate</t>
        </is>
      </c>
      <c r="H5" t="inlineStr" s="1">
        <is>
          <t xml:space="preserve">Amount</t>
        </is>
      </c>
      <c r="I5" t="inlineStr" s="11">
        <is>
          <t xml:space="preserve">बैठा % (उन्होंने MRP पर असल कितना दिया)</t>
        </is>
      </c>
      <c r="J5" t="inlineStr" s="10">
        <is>
          <t xml:space="preserve">अपना % (बदल सकते हैं)</t>
        </is>
      </c>
      <c r="K5" t="inlineStr" s="1">
        <is>
          <t xml:space="preserve">नई रकम (अपने % से, GST से पहले)</t>
        </is>
      </c>
    </row>
    <row r="6">
      <c r="A6" t="inlineStr" s="5">
        <is>
          <t xml:space="preserve"/>
        </is>
      </c>
      <c r="B6" t="inlineStr" s="5">
        <is>
          <t xml:space="preserve">G.443</t>
        </is>
      </c>
      <c r="C6" t="inlineStr" s="5">
        <is>
          <t xml:space="preserve"/>
        </is>
      </c>
      <c r="D6" s="18">
        <v>30</v>
      </c>
      <c r="E6" t="inlineStr" s="5">
        <is>
          <t xml:space="preserve">7\10</t>
        </is>
      </c>
      <c r="F6" s="18">
        <v>299</v>
      </c>
      <c r="G6" s="2">
        <v>209.3</v>
      </c>
      <c r="H6" s="18">
        <v>6279</v>
      </c>
      <c r="I6" s="12">
        <v>26.50</v>
      </c>
      <c r="J6" t="inlineStr" s="14">
        <is>
          <t xml:space="preserve"/>
        </is>
      </c>
      <c r="K6" s="2">
        <f>IF(J6="",6279,ROUND(ROUND(299*(100-J6)/(100+5),2)*30,2))</f>
        <v>6279</v>
      </c>
    </row>
    <row r="7">
      <c r="A7" t="inlineStr" s="5">
        <is>
          <t xml:space="preserve">2</t>
        </is>
      </c>
      <c r="B7" t="inlineStr" s="5">
        <is>
          <t xml:space="preserve">G.3322</t>
        </is>
      </c>
      <c r="C7" t="inlineStr" s="5">
        <is>
          <t xml:space="preserve"/>
        </is>
      </c>
      <c r="D7" s="18">
        <v>60</v>
      </c>
      <c r="E7" s="18">
        <v>7110</v>
      </c>
      <c r="F7" s="18">
        <v>299</v>
      </c>
      <c r="G7" s="2">
        <v>209.3</v>
      </c>
      <c r="H7" s="18">
        <v>12558</v>
      </c>
      <c r="I7" s="12">
        <v>26.50</v>
      </c>
      <c r="J7" t="inlineStr" s="14">
        <is>
          <t xml:space="preserve"/>
        </is>
      </c>
      <c r="K7" s="2">
        <f>IF(J7="",12558,ROUND(ROUND(299*(100-J7)/(100+5),2)*60,2))</f>
        <v>12558</v>
      </c>
    </row>
    <row r="8">
      <c r="A8" t="inlineStr" s="5">
        <is>
          <t xml:space="preserve"/>
        </is>
      </c>
      <c r="B8" t="inlineStr" s="5">
        <is>
          <t xml:space="preserve">G.3002</t>
        </is>
      </c>
      <c r="C8" t="inlineStr" s="5">
        <is>
          <t xml:space="preserve"/>
        </is>
      </c>
      <c r="D8" s="18">
        <v>60</v>
      </c>
      <c r="E8" t="inlineStr" s="5">
        <is>
          <t xml:space="preserve">7\10</t>
        </is>
      </c>
      <c r="F8" s="18">
        <v>325</v>
      </c>
      <c r="G8" s="2">
        <v>227.5</v>
      </c>
      <c r="H8" s="18">
        <v>13650</v>
      </c>
      <c r="I8" s="12">
        <v>26.50</v>
      </c>
      <c r="J8" t="inlineStr" s="14">
        <is>
          <t xml:space="preserve"/>
        </is>
      </c>
      <c r="K8" s="2">
        <f>IF(J8="",13650,ROUND(ROUND(325*(100-J8)/(100+5),2)*60,2))</f>
        <v>13650</v>
      </c>
    </row>
    <row r="9">
      <c r="A9" t="inlineStr" s="5">
        <is>
          <t xml:space="preserve">3</t>
        </is>
      </c>
      <c r="B9" t="inlineStr" s="5">
        <is>
          <t xml:space="preserve">G.3008</t>
        </is>
      </c>
      <c r="C9" t="inlineStr" s="5">
        <is>
          <t xml:space="preserve"/>
        </is>
      </c>
      <c r="D9" s="18">
        <v>90</v>
      </c>
      <c r="E9" t="inlineStr" s="5">
        <is>
          <t xml:space="preserve">7\10</t>
        </is>
      </c>
      <c r="F9" s="18">
        <v>325</v>
      </c>
      <c r="G9" t="inlineStr" s="5">
        <is>
          <t xml:space="preserve">227.5 120</t>
        </is>
      </c>
      <c r="H9" s="18">
        <v>20475</v>
      </c>
      <c r="I9" s="12">
        <v>26.50</v>
      </c>
      <c r="J9" t="inlineStr" s="14">
        <is>
          <t xml:space="preserve"/>
        </is>
      </c>
      <c r="K9" s="2">
        <f>IF(J9="",20475,ROUND(ROUND(325*(100-J9)/(100+5),2)*90,2))</f>
        <v>20475</v>
      </c>
    </row>
    <row r="10">
      <c r="A10" t="inlineStr" s="5">
        <is>
          <t xml:space="preserve">4</t>
        </is>
      </c>
      <c r="B10" t="inlineStr" s="5">
        <is>
          <t xml:space="preserve">G.305</t>
        </is>
      </c>
      <c r="C10" t="inlineStr" s="5">
        <is>
          <t xml:space="preserve"/>
        </is>
      </c>
      <c r="D10" s="18">
        <v>90</v>
      </c>
      <c r="E10" s="18">
        <v>710</v>
      </c>
      <c r="F10" s="18">
        <v>299</v>
      </c>
      <c r="G10" s="2">
        <v>209.3</v>
      </c>
      <c r="H10" s="18">
        <v>18837</v>
      </c>
      <c r="I10" s="12">
        <v>26.50</v>
      </c>
      <c r="J10" t="inlineStr" s="14">
        <is>
          <t xml:space="preserve"/>
        </is>
      </c>
      <c r="K10" s="2">
        <f>IF(J10="",18837,ROUND(ROUND(299*(100-J10)/(100+5),2)*90,2))</f>
        <v>18837</v>
      </c>
    </row>
    <row r="11">
      <c r="A11" t="inlineStr" s="5">
        <is>
          <t xml:space="preserve">5</t>
        </is>
      </c>
      <c r="B11" t="inlineStr" s="5">
        <is>
          <t xml:space="preserve">GS.52,54</t>
        </is>
      </c>
      <c r="C11" t="inlineStr" s="5">
        <is>
          <t xml:space="preserve"/>
        </is>
      </c>
      <c r="D11" s="18">
        <v>90</v>
      </c>
      <c r="E11" t="inlineStr" s="5">
        <is>
          <t xml:space="preserve">7\10</t>
        </is>
      </c>
      <c r="F11" s="18">
        <v>399</v>
      </c>
      <c r="G11" s="2">
        <v>279.3</v>
      </c>
      <c r="H11" s="18">
        <v>25137</v>
      </c>
      <c r="I11" s="12">
        <v>26.50</v>
      </c>
      <c r="J11" t="inlineStr" s="14">
        <is>
          <t xml:space="preserve"/>
        </is>
      </c>
      <c r="K11" s="2">
        <f>IF(J11="",25137,ROUND(ROUND(399*(100-J11)/(100+5),2)*90,2))</f>
        <v>25137</v>
      </c>
    </row>
    <row r="12">
      <c r="A12" t="inlineStr" s="5">
        <is>
          <t xml:space="preserve">6</t>
        </is>
      </c>
      <c r="B12" t="inlineStr" s="5">
        <is>
          <t xml:space="preserve">GB.21</t>
        </is>
      </c>
      <c r="C12" t="inlineStr" s="5">
        <is>
          <t xml:space="preserve"/>
        </is>
      </c>
      <c r="D12" s="18">
        <v>90</v>
      </c>
      <c r="E12" t="inlineStr" s="5">
        <is>
          <t xml:space="preserve">6\10</t>
        </is>
      </c>
      <c r="F12" s="18">
        <v>299</v>
      </c>
      <c r="G12" s="2">
        <v>209.3</v>
      </c>
      <c r="H12" s="18">
        <v>18837</v>
      </c>
      <c r="I12" s="12">
        <v>26.50</v>
      </c>
      <c r="J12" t="inlineStr" s="14">
        <is>
          <t xml:space="preserve"/>
        </is>
      </c>
      <c r="K12" s="2">
        <f>IF(J12="",18837,ROUND(ROUND(299*(100-J12)/(100+5),2)*90,2))</f>
        <v>18837</v>
      </c>
    </row>
    <row r="13">
      <c r="A13" t="inlineStr" s="5">
        <is>
          <t xml:space="preserve">7</t>
        </is>
      </c>
      <c r="B13" t="inlineStr" s="5">
        <is>
          <t xml:space="preserve">Monika</t>
        </is>
      </c>
      <c r="C13" t="inlineStr" s="5">
        <is>
          <t xml:space="preserve"/>
        </is>
      </c>
      <c r="D13" s="18">
        <v>144</v>
      </c>
      <c r="E13" t="inlineStr" s="5">
        <is>
          <t xml:space="preserve">5\8</t>
        </is>
      </c>
      <c r="F13" s="18">
        <v>149</v>
      </c>
      <c r="G13" s="2">
        <v>104.3</v>
      </c>
      <c r="H13" s="2">
        <v>15019.2</v>
      </c>
      <c r="I13" s="12">
        <v>26.50</v>
      </c>
      <c r="J13" t="inlineStr" s="14">
        <is>
          <t xml:space="preserve"/>
        </is>
      </c>
      <c r="K13" s="2">
        <f>IF(J13="",15019.2,ROUND(ROUND(149*(100-J13)/(100+5),2)*144,2))</f>
        <v>15019.2</v>
      </c>
    </row>
    <row r="14">
      <c r="A14" t="inlineStr" s="5">
        <is>
          <t xml:space="preserve">8</t>
        </is>
      </c>
      <c r="B14" t="inlineStr" s="5">
        <is>
          <t xml:space="preserve">Saniya</t>
        </is>
      </c>
      <c r="C14" t="inlineStr" s="5">
        <is>
          <t xml:space="preserve"/>
        </is>
      </c>
      <c r="D14" s="18">
        <v>144</v>
      </c>
      <c r="E14" t="inlineStr" s="5">
        <is>
          <t xml:space="preserve">5\8</t>
        </is>
      </c>
      <c r="F14" s="18">
        <v>149</v>
      </c>
      <c r="G14" s="2">
        <v>104.3</v>
      </c>
      <c r="H14" s="2">
        <v>15019.2</v>
      </c>
      <c r="I14" s="12">
        <v>26.50</v>
      </c>
      <c r="J14" t="inlineStr" s="14">
        <is>
          <t xml:space="preserve"/>
        </is>
      </c>
      <c r="K14" s="2">
        <f>IF(J14="",15019.2,ROUND(ROUND(149*(100-J14)/(100+5),2)*144,2))</f>
        <v>15019.2</v>
      </c>
    </row>
    <row r="15">
      <c r="A15" t="inlineStr" s="5">
        <is>
          <t xml:space="preserve"/>
        </is>
      </c>
      <c r="B15" t="inlineStr" s="5">
        <is>
          <t xml:space="preserve">G.307</t>
        </is>
      </c>
      <c r="C15" t="inlineStr" s="5">
        <is>
          <t xml:space="preserve"/>
        </is>
      </c>
      <c r="D15" s="18">
        <v>12</v>
      </c>
      <c r="E15" t="inlineStr" s="5">
        <is>
          <t xml:space="preserve">7\10</t>
        </is>
      </c>
      <c r="F15" s="18">
        <v>349</v>
      </c>
      <c r="G15" s="2">
        <v>244.3</v>
      </c>
      <c r="H15" s="2">
        <v>2931.6</v>
      </c>
      <c r="I15" s="12">
        <v>26.50</v>
      </c>
      <c r="J15" t="inlineStr" s="14">
        <is>
          <t xml:space="preserve"/>
        </is>
      </c>
      <c r="K15" s="2">
        <f>IF(J15="",2931.6,ROUND(ROUND(349*(100-J15)/(100+5),2)*12,2))</f>
        <v>2931.6</v>
      </c>
    </row>
    <row r="16">
      <c r="A16" t="inlineStr" s="5">
        <is>
          <t xml:space="preserve">10</t>
        </is>
      </c>
      <c r="B16" t="inlineStr" s="5">
        <is>
          <t xml:space="preserve">G.338</t>
        </is>
      </c>
      <c r="C16" t="inlineStr" s="5">
        <is>
          <t xml:space="preserve"/>
        </is>
      </c>
      <c r="D16" s="18">
        <v>12</v>
      </c>
      <c r="E16" t="inlineStr" s="5">
        <is>
          <t xml:space="preserve">7\10</t>
        </is>
      </c>
      <c r="F16" s="18">
        <v>349</v>
      </c>
      <c r="G16" s="2">
        <v>244.3</v>
      </c>
      <c r="H16" s="2">
        <v>2931.6</v>
      </c>
      <c r="I16" s="12">
        <v>26.50</v>
      </c>
      <c r="J16" t="inlineStr" s="14">
        <is>
          <t xml:space="preserve"/>
        </is>
      </c>
      <c r="K16" s="2">
        <f>IF(J16="",2931.6,ROUND(ROUND(349*(100-J16)/(100+5),2)*12,2))</f>
        <v>2931.6</v>
      </c>
    </row>
    <row r="17">
      <c r="B17" t="inlineStr" s="16">
        <is>
          <t xml:space="preserve">Total</t>
        </is>
      </c>
      <c r="D17" t="inlineStr" s="16">
        <is>
          <t xml:space="preserve">822 pairs</t>
        </is>
      </c>
      <c r="H17" s="15">
        <v>151674.6</v>
      </c>
      <c r="I17" s="12">
        <v>26.50</v>
      </c>
      <c r="K17" s="15">
        <f>SUM(K6:K16)</f>
        <v>151674.60</v>
      </c>
    </row>
    <row r="18">
      <c r="B18" t="inlineStr" s="16">
        <is>
          <t xml:space="preserve">GST (CGST 3791.90 + SGST 3791.90)</t>
        </is>
      </c>
      <c r="H18" s="15">
        <v>7583.80</v>
      </c>
      <c r="K18" s="15">
        <f>ROUND((K6+K7+K8+K9+K10+K11+K12+K13+K14+K15+K16)*5/100,2)</f>
        <v>7583.73</v>
      </c>
    </row>
    <row r="19">
      <c r="B19" t="inlineStr" s="16">
        <is>
          <t xml:space="preserve">Round off</t>
        </is>
      </c>
      <c r="H19" s="15">
        <v>-0.40</v>
      </c>
    </row>
    <row r="20">
      <c r="B20" t="inlineStr" s="16">
        <is>
          <t xml:space="preserve">Grand Total (printed on bill)</t>
        </is>
      </c>
      <c r="H20" s="15">
        <v>159258</v>
      </c>
      <c r="J20" t="inlineStr" s="16">
        <is>
          <t xml:space="preserve">नया Total →</t>
        </is>
      </c>
      <c r="K20" s="15">
        <f>ROUND(K17+K18,0)</f>
        <v>159258.00</v>
      </c>
    </row>
    <row r="21"/>
    <row r="22">
      <c r="B22" t="inlineStr" s="16">
        <is>
          <t xml:space="preserve">कंपनी-वार</t>
        </is>
      </c>
      <c r="I22" t="inlineStr" s="11">
        <is>
          <t xml:space="preserve">बैठा % (उन्होंने MRP पर असल कितना दिया)</t>
        </is>
      </c>
      <c r="J22" t="inlineStr" s="10">
        <is>
          <t xml:space="preserve">अपना % (बदल सकते हैं)</t>
        </is>
      </c>
      <c r="K22" t="inlineStr" s="1">
        <is>
          <t xml:space="preserve">नई रकम</t>
        </is>
      </c>
    </row>
    <row r="23">
      <c r="B23" t="inlineStr" s="16">
        <is>
          <t xml:space="preserve">G (7 lines · 354 pairs)</t>
        </is>
      </c>
      <c r="H23" s="15">
        <v>77662.20</v>
      </c>
      <c r="I23" s="12">
        <v>26.50</v>
      </c>
      <c r="J23" t="inlineStr" s="5">
        <is>
          <t xml:space="preserve"/>
        </is>
      </c>
      <c r="K23" t="inlineStr" s="5">
        <is>
          <t xml:space="preserve"/>
        </is>
      </c>
    </row>
    <row r="24">
      <c r="B24" t="inlineStr" s="16">
        <is>
          <t xml:space="preserve">GS (1 lines · 90 pairs)</t>
        </is>
      </c>
      <c r="H24" s="15">
        <v>25137.00</v>
      </c>
      <c r="I24" s="12">
        <v>26.50</v>
      </c>
      <c r="J24" t="inlineStr" s="5">
        <is>
          <t xml:space="preserve"/>
        </is>
      </c>
      <c r="K24" t="inlineStr" s="5">
        <is>
          <t xml:space="preserve"/>
        </is>
      </c>
    </row>
    <row r="25">
      <c r="B25" t="inlineStr" s="16">
        <is>
          <t xml:space="preserve">GB (1 lines · 90 pairs)</t>
        </is>
      </c>
      <c r="H25" s="15">
        <v>18837.00</v>
      </c>
      <c r="I25" s="12">
        <v>26.50</v>
      </c>
      <c r="J25" t="inlineStr" s="5">
        <is>
          <t xml:space="preserve"/>
        </is>
      </c>
      <c r="K25" t="inlineStr" s="5">
        <is>
          <t xml:space="preserve"/>
        </is>
      </c>
    </row>
    <row r="26">
      <c r="B26" t="inlineStr" s="16">
        <is>
          <t xml:space="preserve">MONIKA (1 lines · 144 pairs)</t>
        </is>
      </c>
      <c r="H26" s="15">
        <v>15019.20</v>
      </c>
      <c r="I26" s="12">
        <v>26.50</v>
      </c>
      <c r="J26" t="inlineStr" s="5">
        <is>
          <t xml:space="preserve"/>
        </is>
      </c>
      <c r="K26" t="inlineStr" s="5">
        <is>
          <t xml:space="preserve"/>
        </is>
      </c>
    </row>
    <row r="27">
      <c r="B27" t="inlineStr" s="16">
        <is>
          <t xml:space="preserve">SANIYA (1 lines · 144 pairs)</t>
        </is>
      </c>
      <c r="H27" s="15">
        <v>15019.20</v>
      </c>
      <c r="I27" s="12">
        <v>26.50</v>
      </c>
      <c r="J27" t="inlineStr" s="5">
        <is>
          <t xml:space="preserve"/>
        </is>
      </c>
      <c r="K27" t="inlineStr" s="5">
        <is>
          <t xml:space="preserve"/>
        </is>
      </c>
    </row>
  </sheetData>
  <autoFilter ref="A5:K27"/>
  <pageMargins left="0.4" right="0.4" top="0.5" bottom="0.5" header="0.3" footer="0.3"/>
  <pageSetup orientation="landscape" paperSize="9" fitToWidth="1" fitToHeight="0"/>
</worksheet>
</file>