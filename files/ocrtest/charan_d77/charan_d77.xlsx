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4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CHARAN CARE — Invoice D77 — 26/09/2026</t>
        </is>
      </c>
    </row>
    <row r="2">
      <c r="A2" t="inlineStr" s="0">
        <is>
          <t xml:space="preserve">Buyer: Shivtej Footwear   ·   Supplier GSTIN: 27AQNPK1329H2ZQ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</t>
        </is>
      </c>
      <c r="B5" t="inlineStr" s="1">
        <is>
          <t xml:space="preserve">Item</t>
        </is>
      </c>
      <c r="C5" t="inlineStr" s="1">
        <is>
          <t xml:space="preserve">Colour</t>
        </is>
      </c>
      <c r="D5" t="inlineStr" s="1">
        <is>
          <t xml:space="preserve">HSN</t>
        </is>
      </c>
      <c r="E5" t="inlineStr" s="1">
        <is>
          <t xml:space="preserve">M.R.P.</t>
        </is>
      </c>
      <c r="F5" t="inlineStr" s="1">
        <is>
          <t xml:space="preserve">GST%</t>
        </is>
      </c>
      <c r="G5" t="inlineStr" s="1">
        <is>
          <t xml:space="preserve">Qty</t>
        </is>
      </c>
      <c r="H5" t="inlineStr" s="1">
        <is>
          <t xml:space="preserve">Rate</t>
        </is>
      </c>
      <c r="I5" t="inlineStr" s="10">
        <is>
          <t xml:space="preserve">CD%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t="inlineStr" s="5">
        <is>
          <t xml:space="preserve"/>
        </is>
      </c>
      <c r="B6" t="inlineStr" s="5">
        <is>
          <t xml:space="preserve">EAZY 02</t>
        </is>
      </c>
      <c r="C6" t="inlineStr" s="5">
        <is>
          <t xml:space="preserve">NAVY</t>
        </is>
      </c>
      <c r="D6" t="inlineStr" s="5">
        <is>
          <t xml:space="preserve">64022010</t>
        </is>
      </c>
      <c r="E6" s="2">
        <v>899.00</v>
      </c>
      <c r="F6" s="2">
        <v>5.0</v>
      </c>
      <c r="G6" s="18">
        <v>8</v>
      </c>
      <c r="H6" s="2">
        <v>556.19</v>
      </c>
      <c r="I6" s="2">
        <v>10.00</v>
      </c>
      <c r="J6" t="inlineStr" s="5">
        <is>
          <t xml:space="preserve">4449:52</t>
        </is>
      </c>
      <c r="K6" s="12">
        <v>41.53</v>
      </c>
      <c r="L6" t="inlineStr" s="14">
        <is>
          <t xml:space="preserve"/>
        </is>
      </c>
      <c r="M6" s="2">
        <f>IF(L6="",4004.62,ROUND(ROUND(899.00*(100-L6)/(100+5),2)*8,2))</f>
        <v>4004.62</v>
      </c>
    </row>
    <row r="7">
      <c r="A7" t="inlineStr" s="5">
        <is>
          <t xml:space="preserve">2</t>
        </is>
      </c>
      <c r="B7" t="inlineStr" s="5">
        <is>
          <t xml:space="preserve">EAZY 02</t>
        </is>
      </c>
      <c r="C7" t="inlineStr" s="5">
        <is>
          <t xml:space="preserve">BLACK</t>
        </is>
      </c>
      <c r="D7" t="inlineStr" s="5">
        <is>
          <t xml:space="preserve">64022010</t>
        </is>
      </c>
      <c r="E7" s="2">
        <v>899.00</v>
      </c>
      <c r="F7" s="2">
        <v>5.0</v>
      </c>
      <c r="G7" s="18">
        <v>8</v>
      </c>
      <c r="H7" s="2">
        <v>556.19</v>
      </c>
      <c r="I7" s="2">
        <v>10.00</v>
      </c>
      <c r="J7" s="2">
        <v>4449.52</v>
      </c>
      <c r="K7" s="12">
        <v>41.53</v>
      </c>
      <c r="L7" t="inlineStr" s="14">
        <is>
          <t xml:space="preserve"/>
        </is>
      </c>
      <c r="M7" s="2">
        <f>IF(L7="",4004.62,ROUND(ROUND(899.00*(100-L7)/(100+5),2)*8,2))</f>
        <v>4004.62</v>
      </c>
    </row>
    <row r="8">
      <c r="A8" t="inlineStr" s="5">
        <is>
          <t xml:space="preserve">3</t>
        </is>
      </c>
      <c r="B8" t="inlineStr" s="5">
        <is>
          <t xml:space="preserve">EAZY 01 6X10</t>
        </is>
      </c>
      <c r="C8" t="inlineStr" s="5">
        <is>
          <t xml:space="preserve">GREY</t>
        </is>
      </c>
      <c r="D8" t="inlineStr" s="5">
        <is>
          <t xml:space="preserve">64022010</t>
        </is>
      </c>
      <c r="E8" s="2">
        <v>849.00</v>
      </c>
      <c r="F8" s="2">
        <v>5.0</v>
      </c>
      <c r="G8" s="18">
        <v>8</v>
      </c>
      <c r="H8" s="2">
        <v>525.71</v>
      </c>
      <c r="I8" t="inlineStr" s="6">
        <is>
          <t xml:space="preserve">10.00 CD</t>
        </is>
      </c>
      <c r="J8" s="2">
        <v>4205.68</v>
      </c>
      <c r="K8" s="12">
        <v>41.48</v>
      </c>
      <c r="L8" t="inlineStr" s="14">
        <is>
          <t xml:space="preserve"/>
        </is>
      </c>
      <c r="M8" s="2">
        <f>IF(L8="",3785.16,ROUND(ROUND(849.00*(100-L8)/(100+5),2)*8,2))</f>
        <v>3785.16</v>
      </c>
    </row>
    <row r="9">
      <c r="B9" t="inlineStr" s="16">
        <is>
          <t xml:space="preserve">Total</t>
        </is>
      </c>
      <c r="G9" t="inlineStr" s="16">
        <is>
          <t xml:space="preserve">24 pairs</t>
        </is>
      </c>
      <c r="J9" s="15">
        <v>13104.72</v>
      </c>
      <c r="K9" s="12">
        <v>41.52</v>
      </c>
      <c r="M9" s="15">
        <f>SUM(M6:M8)</f>
        <v>11794.40</v>
      </c>
    </row>
    <row r="10">
      <c r="B10" t="inlineStr" s="16">
        <is>
          <t xml:space="preserve">GST (CGST 294.89 + SGST 294.89)</t>
        </is>
      </c>
      <c r="J10" s="15">
        <v>589.78</v>
      </c>
      <c r="M10" s="15">
        <f>ROUND((M6+M7+M8)*5/100,2)</f>
        <v>589.72</v>
      </c>
    </row>
    <row r="11">
      <c r="B11" t="inlineStr" s="16">
        <is>
          <t xml:space="preserve">Grand Total (printed on bill)</t>
        </is>
      </c>
      <c r="J11" s="15">
        <v>12385.00</v>
      </c>
      <c r="L11" t="inlineStr" s="16">
        <is>
          <t xml:space="preserve">नया Total →</t>
        </is>
      </c>
      <c r="M11" s="15">
        <f>ROUND(M9+M10,0)</f>
        <v>12384.00</v>
      </c>
    </row>
    <row r="12">
      <c r="B12" t="inlineStr" s="16">
        <is>
          <t xml:space="preserve">Printed total − calculated = ₹0.82 — check the bill</t>
        </is>
      </c>
      <c r="J12" s="8">
        <v>0.82</v>
      </c>
    </row>
  </sheetData>
  <autoFilter ref="A5:M12"/>
  <pageMargins left="0.4" right="0.4" top="0.5" bottom="0.5" header="0.3" footer="0.3"/>
  <pageSetup orientation="landscape" paperSize="9" fitToWidth="1" fitToHeight="0"/>
</worksheet>
</file>