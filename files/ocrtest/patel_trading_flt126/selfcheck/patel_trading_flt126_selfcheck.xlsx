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%'!$A$5:$M$37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PATEL TRADING CORPORATION — Invoice 25-26/FLT-126 — 26-Jan-2026</t>
        </is>
      </c>
    </row>
    <row r="2">
      <c r="A2" t="inlineStr" s="0">
        <is>
          <t xml:space="preserve">Buyer: Shivtej Footwear Akluj   ·   Supplier GSTIN: 27ABWPP2432J1Z5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Sr. No.</t>
        </is>
      </c>
      <c r="B5" t="inlineStr" s="1">
        <is>
          <t xml:space="preserve">Description of Goods / Services</t>
        </is>
      </c>
      <c r="C5" t="inlineStr" s="1">
        <is>
          <t xml:space="preserve">HSN/ SAC</t>
        </is>
      </c>
      <c r="D5" t="inlineStr" s="1">
        <is>
          <t xml:space="preserve">Quantity</t>
        </is>
      </c>
      <c r="E5" t="inlineStr" s="1">
        <is>
          <t xml:space="preserve">MRP</t>
        </is>
      </c>
      <c r="F5" t="inlineStr" s="1">
        <is>
          <t xml:space="preserve">Rate</t>
        </is>
      </c>
      <c r="G5" t="inlineStr" s="1">
        <is>
          <t xml:space="preserve">Net Rate</t>
        </is>
      </c>
      <c r="H5" t="inlineStr" s="10">
        <is>
          <t xml:space="preserve">Disc Disc. Disc.GST (per) (%)</t>
        </is>
      </c>
      <c r="I5" t="inlineStr" s="1">
        <is>
          <t xml:space="preserve">Disc Disc. Disc.GST Amt.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सहित — बिल जैसी)</t>
        </is>
      </c>
    </row>
    <row r="6">
      <c r="A6" t="inlineStr" s="5">
        <is>
          <t xml:space="preserve"/>
        </is>
      </c>
      <c r="B6" t="inlineStr" s="5">
        <is>
          <t xml:space="preserve">BINNY MONIKA 11 Br 5/8</t>
        </is>
      </c>
      <c r="C6" t="inlineStr" s="5">
        <is>
          <t xml:space="preserve">64041920</t>
        </is>
      </c>
      <c r="D6" t="inlineStr" s="5">
        <is>
          <t xml:space="preserve">42 Pairs</t>
        </is>
      </c>
      <c r="E6" s="2">
        <v>0.00</v>
      </c>
      <c r="F6" s="2">
        <v>98.00</v>
      </c>
      <c r="G6" s="2">
        <v>93.33</v>
      </c>
      <c r="H6" t="inlineStr" s="6">
        <is>
          <t xml:space="preserve"/>
        </is>
      </c>
      <c r="I6" t="inlineStr" s="5">
        <is>
          <t xml:space="preserve">5%</t>
        </is>
      </c>
      <c r="J6" s="2">
        <v>4116.00</v>
      </c>
      <c r="K6" t="inlineStr" s="5">
        <is>
          <t xml:space="preserve">MRP नहीं (रेट वाला)</t>
        </is>
      </c>
      <c r="L6" t="inlineStr" s="5">
        <is>
          <t xml:space="preserve"/>
        </is>
      </c>
      <c r="M6" s="2">
        <v>4116.00</v>
      </c>
    </row>
    <row r="7">
      <c r="A7" t="inlineStr" s="5">
        <is>
          <t xml:space="preserve">2</t>
        </is>
      </c>
      <c r="B7" t="inlineStr" s="5">
        <is>
          <t xml:space="preserve">Binny Saniya Br 11- 5/8</t>
        </is>
      </c>
      <c r="C7" t="inlineStr" s="5">
        <is>
          <t xml:space="preserve">64041920</t>
        </is>
      </c>
      <c r="D7" t="inlineStr" s="5">
        <is>
          <t xml:space="preserve">42 Pairs</t>
        </is>
      </c>
      <c r="E7" s="2">
        <v>0.00</v>
      </c>
      <c r="F7" s="2">
        <v>100.00</v>
      </c>
      <c r="G7" s="2">
        <v>95.24</v>
      </c>
      <c r="H7" t="inlineStr" s="6">
        <is>
          <t xml:space="preserve"/>
        </is>
      </c>
      <c r="I7" t="inlineStr" s="5">
        <is>
          <t xml:space="preserve">5%</t>
        </is>
      </c>
      <c r="J7" s="2">
        <v>4200.00</v>
      </c>
      <c r="K7" t="inlineStr" s="5">
        <is>
          <t xml:space="preserve">MRP नहीं (रेट वाला)</t>
        </is>
      </c>
      <c r="L7" t="inlineStr" s="5">
        <is>
          <t xml:space="preserve"/>
        </is>
      </c>
      <c r="M7" s="2">
        <v>4200.00</v>
      </c>
    </row>
    <row r="8">
      <c r="A8" t="inlineStr" s="5">
        <is>
          <t xml:space="preserve">3</t>
        </is>
      </c>
      <c r="B8" t="inlineStr" s="5">
        <is>
          <t xml:space="preserve">Binny Dolphin 103 Bk 6/9</t>
        </is>
      </c>
      <c r="C8" t="inlineStr" s="5">
        <is>
          <t xml:space="preserve">64041920</t>
        </is>
      </c>
      <c r="D8" t="inlineStr" s="5">
        <is>
          <t xml:space="preserve">12 Pairs</t>
        </is>
      </c>
      <c r="E8" s="2">
        <v>0.00</v>
      </c>
      <c r="F8" s="2">
        <v>127.00</v>
      </c>
      <c r="G8" s="2">
        <v>120.95</v>
      </c>
      <c r="H8" t="inlineStr" s="6">
        <is>
          <t xml:space="preserve"/>
        </is>
      </c>
      <c r="I8" t="inlineStr" s="5">
        <is>
          <t xml:space="preserve">5%</t>
        </is>
      </c>
      <c r="J8" s="2">
        <v>1524.00</v>
      </c>
      <c r="K8" t="inlineStr" s="5">
        <is>
          <t xml:space="preserve">MRP नहीं (रेट वाला)</t>
        </is>
      </c>
      <c r="L8" t="inlineStr" s="5">
        <is>
          <t xml:space="preserve"/>
        </is>
      </c>
      <c r="M8" s="2">
        <v>1524.00</v>
      </c>
    </row>
    <row r="9">
      <c r="A9" t="inlineStr" s="5">
        <is>
          <t xml:space="preserve">4</t>
        </is>
      </c>
      <c r="B9" t="inlineStr" s="5">
        <is>
          <t xml:space="preserve">Binny Saniya Br 11- 9/10</t>
        </is>
      </c>
      <c r="C9" t="inlineStr" s="5">
        <is>
          <t xml:space="preserve">64041920</t>
        </is>
      </c>
      <c r="D9" t="inlineStr" s="5">
        <is>
          <t xml:space="preserve">6 Pairs</t>
        </is>
      </c>
      <c r="E9" s="2">
        <v>0.00</v>
      </c>
      <c r="F9" s="2">
        <v>106.00</v>
      </c>
      <c r="G9" s="2">
        <v>100.95</v>
      </c>
      <c r="H9" t="inlineStr" s="6">
        <is>
          <t xml:space="preserve"/>
        </is>
      </c>
      <c r="I9" t="inlineStr" s="5">
        <is>
          <t xml:space="preserve">5%</t>
        </is>
      </c>
      <c r="J9" s="2">
        <v>636.00</v>
      </c>
      <c r="K9" t="inlineStr" s="5">
        <is>
          <t xml:space="preserve">MRP नहीं (रेट वाला)</t>
        </is>
      </c>
      <c r="L9" t="inlineStr" s="5">
        <is>
          <t xml:space="preserve"/>
        </is>
      </c>
      <c r="M9" s="2">
        <v>636.00</v>
      </c>
    </row>
    <row r="10">
      <c r="A10" t="inlineStr" s="5">
        <is>
          <t xml:space="preserve">5</t>
        </is>
      </c>
      <c r="B10" t="inlineStr" s="5">
        <is>
          <t xml:space="preserve">Mosach 5950 Fig 6/9</t>
        </is>
      </c>
      <c r="C10" t="inlineStr" s="5">
        <is>
          <t xml:space="preserve">64041920</t>
        </is>
      </c>
      <c r="D10" t="inlineStr" s="5">
        <is>
          <t xml:space="preserve">6 Pairs</t>
        </is>
      </c>
      <c r="E10" s="2">
        <v>319.00</v>
      </c>
      <c r="F10" s="2">
        <v>201.00</v>
      </c>
      <c r="G10" s="2">
        <v>191.43</v>
      </c>
      <c r="H10" t="inlineStr" s="6">
        <is>
          <t xml:space="preserve"/>
        </is>
      </c>
      <c r="I10" t="inlineStr" s="5">
        <is>
          <t xml:space="preserve">5%</t>
        </is>
      </c>
      <c r="J10" s="2">
        <v>1206.00</v>
      </c>
      <c r="K10" s="12">
        <v>36.99</v>
      </c>
      <c r="L10" t="inlineStr" s="14">
        <is>
          <t xml:space="preserve"/>
        </is>
      </c>
      <c r="M10" s="2">
        <f>IF(L10="",1206.00,ROUND(ROUND(319.00*(100-L10)/100,2)*6,2))</f>
        <v>1206.00</v>
      </c>
    </row>
    <row r="11">
      <c r="A11" t="inlineStr" s="5">
        <is>
          <t xml:space="preserve">6</t>
        </is>
      </c>
      <c r="B11" t="inlineStr" s="5">
        <is>
          <t xml:space="preserve">Binny Rustik 12 Bk 7/10</t>
        </is>
      </c>
      <c r="C11" t="inlineStr" s="5">
        <is>
          <t xml:space="preserve">64041920</t>
        </is>
      </c>
      <c r="D11" t="inlineStr" s="5">
        <is>
          <t xml:space="preserve">8 Pairs</t>
        </is>
      </c>
      <c r="E11" s="2">
        <v>0.00</v>
      </c>
      <c r="F11" s="2">
        <v>337.00</v>
      </c>
      <c r="G11" s="2">
        <v>320.95</v>
      </c>
      <c r="H11" t="inlineStr" s="6">
        <is>
          <t xml:space="preserve"/>
        </is>
      </c>
      <c r="I11" t="inlineStr" s="5">
        <is>
          <t xml:space="preserve">5%</t>
        </is>
      </c>
      <c r="J11" s="2">
        <v>2696.00</v>
      </c>
      <c r="K11" t="inlineStr" s="5">
        <is>
          <t xml:space="preserve">MRP नहीं (रेट वाला)</t>
        </is>
      </c>
      <c r="L11" t="inlineStr" s="5">
        <is>
          <t xml:space="preserve"/>
        </is>
      </c>
      <c r="M11" s="2">
        <v>2696.00</v>
      </c>
    </row>
    <row r="12">
      <c r="A12" t="inlineStr" s="5">
        <is>
          <t xml:space="preserve">7</t>
        </is>
      </c>
      <c r="B12" t="inlineStr" s="5">
        <is>
          <t xml:space="preserve">Binny Rustik 01 Bk 7/10</t>
        </is>
      </c>
      <c r="C12" t="inlineStr" s="5">
        <is>
          <t xml:space="preserve">64041920</t>
        </is>
      </c>
      <c r="D12" t="inlineStr" s="5">
        <is>
          <t xml:space="preserve">8 Pairs</t>
        </is>
      </c>
      <c r="E12" s="2">
        <v>0.00</v>
      </c>
      <c r="F12" s="2">
        <v>343.00</v>
      </c>
      <c r="G12" s="2">
        <v>326.67</v>
      </c>
      <c r="H12" t="inlineStr" s="6">
        <is>
          <t xml:space="preserve"/>
        </is>
      </c>
      <c r="I12" t="inlineStr" s="5">
        <is>
          <t xml:space="preserve">5%</t>
        </is>
      </c>
      <c r="J12" s="2">
        <v>2744.00</v>
      </c>
      <c r="K12" t="inlineStr" s="5">
        <is>
          <t xml:space="preserve">MRP नहीं (रेट वाला)</t>
        </is>
      </c>
      <c r="L12" t="inlineStr" s="5">
        <is>
          <t xml:space="preserve"/>
        </is>
      </c>
      <c r="M12" s="2">
        <v>2744.00</v>
      </c>
    </row>
    <row r="13">
      <c r="A13" t="inlineStr" s="5">
        <is>
          <t xml:space="preserve">8</t>
        </is>
      </c>
      <c r="B13" t="inlineStr" s="5">
        <is>
          <t xml:space="preserve">Binny Rustik 01 Br 7/10</t>
        </is>
      </c>
      <c r="C13" t="inlineStr" s="5">
        <is>
          <t xml:space="preserve">64041920</t>
        </is>
      </c>
      <c r="D13" t="inlineStr" s="5">
        <is>
          <t xml:space="preserve">8 Pairs</t>
        </is>
      </c>
      <c r="E13" s="2">
        <v>0.00</v>
      </c>
      <c r="F13" s="2">
        <v>343.00</v>
      </c>
      <c r="G13" s="2">
        <v>326.67</v>
      </c>
      <c r="H13" t="inlineStr" s="6">
        <is>
          <t xml:space="preserve"/>
        </is>
      </c>
      <c r="I13" t="inlineStr" s="5">
        <is>
          <t xml:space="preserve">5%</t>
        </is>
      </c>
      <c r="J13" s="2">
        <v>2744.00</v>
      </c>
      <c r="K13" t="inlineStr" s="5">
        <is>
          <t xml:space="preserve">MRP नहीं (रेट वाला)</t>
        </is>
      </c>
      <c r="L13" t="inlineStr" s="5">
        <is>
          <t xml:space="preserve"/>
        </is>
      </c>
      <c r="M13" s="2">
        <v>2744.00</v>
      </c>
    </row>
    <row r="14">
      <c r="A14" t="inlineStr" s="5">
        <is>
          <t xml:space="preserve">9</t>
        </is>
      </c>
      <c r="B14" t="inlineStr" s="5">
        <is>
          <t xml:space="preserve">Binny Rustik 13 Bk 6/10</t>
        </is>
      </c>
      <c r="C14" t="inlineStr" s="5">
        <is>
          <t xml:space="preserve">64041920</t>
        </is>
      </c>
      <c r="D14" t="inlineStr" s="5">
        <is>
          <t xml:space="preserve">8 Pairs</t>
        </is>
      </c>
      <c r="E14" s="2">
        <v>0.00</v>
      </c>
      <c r="F14" s="2">
        <v>337.00</v>
      </c>
      <c r="G14" s="2">
        <v>320.95</v>
      </c>
      <c r="H14" t="inlineStr" s="6">
        <is>
          <t xml:space="preserve"/>
        </is>
      </c>
      <c r="I14" t="inlineStr" s="5">
        <is>
          <t xml:space="preserve">5%</t>
        </is>
      </c>
      <c r="J14" s="2">
        <v>2696.00</v>
      </c>
      <c r="K14" t="inlineStr" s="5">
        <is>
          <t xml:space="preserve">MRP नहीं (रेट वाला)</t>
        </is>
      </c>
      <c r="L14" t="inlineStr" s="5">
        <is>
          <t xml:space="preserve"/>
        </is>
      </c>
      <c r="M14" s="2">
        <v>2696.00</v>
      </c>
    </row>
    <row r="15">
      <c r="A15" t="inlineStr" s="5">
        <is>
          <t xml:space="preserve">10</t>
        </is>
      </c>
      <c r="B15" t="inlineStr" s="5">
        <is>
          <t xml:space="preserve">Binny Rustik 12 Br 7/10</t>
        </is>
      </c>
      <c r="C15" t="inlineStr" s="5">
        <is>
          <t xml:space="preserve">64041920</t>
        </is>
      </c>
      <c r="D15" t="inlineStr" s="5">
        <is>
          <t xml:space="preserve">8 Pairs</t>
        </is>
      </c>
      <c r="E15" s="2">
        <v>0.00</v>
      </c>
      <c r="F15" s="2">
        <v>337.00</v>
      </c>
      <c r="G15" s="2">
        <v>320.95</v>
      </c>
      <c r="H15" t="inlineStr" s="6">
        <is>
          <t xml:space="preserve"/>
        </is>
      </c>
      <c r="I15" t="inlineStr" s="5">
        <is>
          <t xml:space="preserve">5%</t>
        </is>
      </c>
      <c r="J15" s="2">
        <v>2696.00</v>
      </c>
      <c r="K15" t="inlineStr" s="5">
        <is>
          <t xml:space="preserve">MRP नहीं (रेट वाला)</t>
        </is>
      </c>
      <c r="L15" t="inlineStr" s="5">
        <is>
          <t xml:space="preserve"/>
        </is>
      </c>
      <c r="M15" s="2">
        <v>2696.00</v>
      </c>
    </row>
    <row r="16">
      <c r="A16" t="inlineStr" s="5">
        <is>
          <t xml:space="preserve">11</t>
        </is>
      </c>
      <c r="B16" t="inlineStr" s="5">
        <is>
          <t xml:space="preserve">Binny Rustik 13 Br 7/10</t>
        </is>
      </c>
      <c r="C16" t="inlineStr" s="5">
        <is>
          <t xml:space="preserve">64041920</t>
        </is>
      </c>
      <c r="D16" t="inlineStr" s="5">
        <is>
          <t xml:space="preserve">8 Pairs</t>
        </is>
      </c>
      <c r="E16" s="2">
        <v>0.00</v>
      </c>
      <c r="F16" s="2">
        <v>337.00</v>
      </c>
      <c r="G16" s="2">
        <v>320.95</v>
      </c>
      <c r="H16" t="inlineStr" s="6">
        <is>
          <t xml:space="preserve"/>
        </is>
      </c>
      <c r="I16" t="inlineStr" s="5">
        <is>
          <t xml:space="preserve">5%</t>
        </is>
      </c>
      <c r="J16" s="2">
        <v>2696.00</v>
      </c>
      <c r="K16" t="inlineStr" s="5">
        <is>
          <t xml:space="preserve">MRP नहीं (रेट वाला)</t>
        </is>
      </c>
      <c r="L16" t="inlineStr" s="5">
        <is>
          <t xml:space="preserve"/>
        </is>
      </c>
      <c r="M16" s="2">
        <v>2696.00</v>
      </c>
    </row>
    <row r="17">
      <c r="A17" t="inlineStr" s="5">
        <is>
          <t xml:space="preserve">12</t>
        </is>
      </c>
      <c r="B17" t="inlineStr" s="5">
        <is>
          <t xml:space="preserve">Kiero Flynet 27 Mhd 2/5</t>
        </is>
      </c>
      <c r="C17" t="inlineStr" s="5">
        <is>
          <t xml:space="preserve">64041920</t>
        </is>
      </c>
      <c r="D17" t="inlineStr" s="5">
        <is>
          <t xml:space="preserve">6 Pairs</t>
        </is>
      </c>
      <c r="E17" s="2">
        <v>0.00</v>
      </c>
      <c r="F17" s="2">
        <v>230.00</v>
      </c>
      <c r="G17" s="2">
        <v>219.05</v>
      </c>
      <c r="H17" t="inlineStr" s="6">
        <is>
          <t xml:space="preserve"/>
        </is>
      </c>
      <c r="I17" t="inlineStr" s="5">
        <is>
          <t xml:space="preserve">5%</t>
        </is>
      </c>
      <c r="J17" s="2">
        <v>1380.00</v>
      </c>
      <c r="K17" t="inlineStr" s="5">
        <is>
          <t xml:space="preserve">MRP नहीं (रेट वाला)</t>
        </is>
      </c>
      <c r="L17" t="inlineStr" s="5">
        <is>
          <t xml:space="preserve"/>
        </is>
      </c>
      <c r="M17" s="2">
        <v>1380.00</v>
      </c>
    </row>
    <row r="18">
      <c r="A18" t="inlineStr" s="5">
        <is>
          <t xml:space="preserve">13</t>
        </is>
      </c>
      <c r="B18" t="inlineStr" s="5">
        <is>
          <t xml:space="preserve">Kiero Flynet 27 Mhd 11/1</t>
        </is>
      </c>
      <c r="C18" t="inlineStr" s="5">
        <is>
          <t xml:space="preserve">64041920</t>
        </is>
      </c>
      <c r="D18" t="inlineStr" s="5">
        <is>
          <t xml:space="preserve">6 Pairs</t>
        </is>
      </c>
      <c r="E18" s="2">
        <v>0.00</v>
      </c>
      <c r="F18" s="2">
        <v>220.00</v>
      </c>
      <c r="G18" s="2">
        <v>209.52</v>
      </c>
      <c r="H18" t="inlineStr" s="6">
        <is>
          <t xml:space="preserve"/>
        </is>
      </c>
      <c r="I18" t="inlineStr" s="5">
        <is>
          <t xml:space="preserve">5%</t>
        </is>
      </c>
      <c r="J18" s="2">
        <v>1320.00</v>
      </c>
      <c r="K18" t="inlineStr" s="5">
        <is>
          <t xml:space="preserve">MRP नहीं (रेट वाला)</t>
        </is>
      </c>
      <c r="L18" t="inlineStr" s="5">
        <is>
          <t xml:space="preserve"/>
        </is>
      </c>
      <c r="M18" s="2">
        <v>1320.00</v>
      </c>
    </row>
    <row r="19">
      <c r="A19" t="inlineStr" s="5">
        <is>
          <t xml:space="preserve">14</t>
        </is>
      </c>
      <c r="B19" t="inlineStr" s="5">
        <is>
          <t xml:space="preserve">Kiero Flynet 27 Bk 2/5</t>
        </is>
      </c>
      <c r="C19" t="inlineStr" s="5">
        <is>
          <t xml:space="preserve">64041920</t>
        </is>
      </c>
      <c r="D19" t="inlineStr" s="5">
        <is>
          <t xml:space="preserve">6 Pairs</t>
        </is>
      </c>
      <c r="E19" s="2">
        <v>0.00</v>
      </c>
      <c r="F19" s="2">
        <v>230.00</v>
      </c>
      <c r="G19" s="2">
        <v>219.05</v>
      </c>
      <c r="H19" t="inlineStr" s="6">
        <is>
          <t xml:space="preserve"/>
        </is>
      </c>
      <c r="I19" t="inlineStr" s="5">
        <is>
          <t xml:space="preserve">5%</t>
        </is>
      </c>
      <c r="J19" s="2">
        <v>1380.00</v>
      </c>
      <c r="K19" t="inlineStr" s="5">
        <is>
          <t xml:space="preserve">MRP नहीं (रेट वाला)</t>
        </is>
      </c>
      <c r="L19" t="inlineStr" s="5">
        <is>
          <t xml:space="preserve"/>
        </is>
      </c>
      <c r="M19" s="2">
        <v>1380.00</v>
      </c>
    </row>
    <row r="20">
      <c r="A20" t="inlineStr" s="5">
        <is>
          <t xml:space="preserve">15</t>
        </is>
      </c>
      <c r="B20" t="inlineStr" s="5">
        <is>
          <t xml:space="preserve">Kiero Flynet 27 F Bk 11/1</t>
        </is>
      </c>
      <c r="C20" t="inlineStr" s="5">
        <is>
          <t xml:space="preserve">64041920</t>
        </is>
      </c>
      <c r="D20" t="inlineStr" s="5">
        <is>
          <t xml:space="preserve">6 Pairs</t>
        </is>
      </c>
      <c r="E20" s="2">
        <v>0.00</v>
      </c>
      <c r="F20" s="2">
        <v>220.00</v>
      </c>
      <c r="G20" s="2">
        <v>209.52</v>
      </c>
      <c r="H20" t="inlineStr" s="6">
        <is>
          <t xml:space="preserve"/>
        </is>
      </c>
      <c r="I20" t="inlineStr" s="5">
        <is>
          <t xml:space="preserve">5%</t>
        </is>
      </c>
      <c r="J20" s="2">
        <v>1320.00</v>
      </c>
      <c r="K20" t="inlineStr" s="5">
        <is>
          <t xml:space="preserve">MRP नहीं (रेट वाला)</t>
        </is>
      </c>
      <c r="L20" t="inlineStr" s="5">
        <is>
          <t xml:space="preserve"/>
        </is>
      </c>
      <c r="M20" s="2">
        <v>1320.00</v>
      </c>
    </row>
    <row r="21">
      <c r="A21" t="inlineStr" s="5">
        <is>
          <t xml:space="preserve">16</t>
        </is>
      </c>
      <c r="B21" t="inlineStr" s="5">
        <is>
          <t xml:space="preserve">Three Star Dolphin Belly 5/8</t>
        </is>
      </c>
      <c r="C21" t="inlineStr" s="5">
        <is>
          <t xml:space="preserve">64041920</t>
        </is>
      </c>
      <c r="D21" t="inlineStr" s="5">
        <is>
          <t xml:space="preserve">18 Pairs</t>
        </is>
      </c>
      <c r="E21" s="2">
        <v>0.00</v>
      </c>
      <c r="F21" s="2">
        <v>108.00</v>
      </c>
      <c r="G21" s="2">
        <v>102.86</v>
      </c>
      <c r="H21" t="inlineStr" s="6">
        <is>
          <t xml:space="preserve"/>
        </is>
      </c>
      <c r="I21" t="inlineStr" s="5">
        <is>
          <t xml:space="preserve">5%</t>
        </is>
      </c>
      <c r="J21" s="2">
        <v>1944.00</v>
      </c>
      <c r="K21" t="inlineStr" s="5">
        <is>
          <t xml:space="preserve">MRP नहीं (रेट वाला)</t>
        </is>
      </c>
      <c r="L21" t="inlineStr" s="5">
        <is>
          <t xml:space="preserve"/>
        </is>
      </c>
      <c r="M21" s="2">
        <v>1944.00</v>
      </c>
    </row>
    <row r="22">
      <c r="A22" t="inlineStr" s="5">
        <is>
          <t xml:space="preserve">17</t>
        </is>
      </c>
      <c r="B22" t="inlineStr" s="5">
        <is>
          <t xml:space="preserve">Indus lg 207 Bk 2/5</t>
        </is>
      </c>
      <c r="C22" t="inlineStr" s="5">
        <is>
          <t xml:space="preserve">64041920</t>
        </is>
      </c>
      <c r="D22" t="inlineStr" s="5">
        <is>
          <t xml:space="preserve">4 Pairs</t>
        </is>
      </c>
      <c r="E22" s="2">
        <v>439.00</v>
      </c>
      <c r="F22" s="2">
        <v>277.00</v>
      </c>
      <c r="G22" s="2">
        <v>263.81</v>
      </c>
      <c r="H22" t="inlineStr" s="6">
        <is>
          <t xml:space="preserve"/>
        </is>
      </c>
      <c r="I22" t="inlineStr" s="5">
        <is>
          <t xml:space="preserve">5%</t>
        </is>
      </c>
      <c r="J22" s="2">
        <v>1108.00</v>
      </c>
      <c r="K22" s="12">
        <v>36.90</v>
      </c>
      <c r="L22" t="inlineStr" s="14">
        <is>
          <t xml:space="preserve"/>
        </is>
      </c>
      <c r="M22" s="2">
        <f>IF(L22="",1108.00,ROUND(ROUND(439.00*(100-L22)/100,2)*4,2))</f>
        <v>1108.00</v>
      </c>
    </row>
    <row r="23">
      <c r="A23" t="inlineStr" s="5">
        <is>
          <t xml:space="preserve">18</t>
        </is>
      </c>
      <c r="B23" t="inlineStr" s="5">
        <is>
          <t xml:space="preserve">Indus lg 210 Br 4/5</t>
        </is>
      </c>
      <c r="C23" t="inlineStr" s="5">
        <is>
          <t xml:space="preserve">64041920</t>
        </is>
      </c>
      <c r="D23" t="inlineStr" s="5">
        <is>
          <t xml:space="preserve">4 Pairs</t>
        </is>
      </c>
      <c r="E23" s="2">
        <v>489.00</v>
      </c>
      <c r="F23" s="2">
        <v>308.00</v>
      </c>
      <c r="G23" s="2">
        <v>293.33</v>
      </c>
      <c r="H23" t="inlineStr" s="6">
        <is>
          <t xml:space="preserve"/>
        </is>
      </c>
      <c r="I23" t="inlineStr" s="5">
        <is>
          <t xml:space="preserve">5%</t>
        </is>
      </c>
      <c r="J23" s="2">
        <v>1232.00</v>
      </c>
      <c r="K23" s="12">
        <v>37.01</v>
      </c>
      <c r="L23" t="inlineStr" s="14">
        <is>
          <t xml:space="preserve"/>
        </is>
      </c>
      <c r="M23" s="2">
        <f>IF(L23="",1232.00,ROUND(ROUND(489.00*(100-L23)/100,2)*4,2))</f>
        <v>1232.00</v>
      </c>
    </row>
    <row r="24">
      <c r="A24" t="inlineStr" s="5">
        <is>
          <t xml:space="preserve">19</t>
        </is>
      </c>
      <c r="B24" t="inlineStr" s="5">
        <is>
          <t xml:space="preserve">Indus lg 222 Br 4/5.</t>
        </is>
      </c>
      <c r="C24" t="inlineStr" s="5">
        <is>
          <t xml:space="preserve">64041920</t>
        </is>
      </c>
      <c r="D24" t="inlineStr" s="5">
        <is>
          <t xml:space="preserve">4 Pairs</t>
        </is>
      </c>
      <c r="E24" s="2">
        <v>419.00</v>
      </c>
      <c r="F24" s="2">
        <v>264.00</v>
      </c>
      <c r="G24" s="2">
        <v>251.43</v>
      </c>
      <c r="H24" t="inlineStr" s="6">
        <is>
          <t xml:space="preserve"/>
        </is>
      </c>
      <c r="I24" t="inlineStr" s="5">
        <is>
          <t xml:space="preserve">5%</t>
        </is>
      </c>
      <c r="J24" s="2">
        <v>1056.00</v>
      </c>
      <c r="K24" s="12">
        <v>36.99</v>
      </c>
      <c r="L24" t="inlineStr" s="14">
        <is>
          <t xml:space="preserve"/>
        </is>
      </c>
      <c r="M24" s="2">
        <f>IF(L24="",1056.00,ROUND(ROUND(419.00*(100-L24)/100,2)*4,2))</f>
        <v>1056.00</v>
      </c>
    </row>
    <row r="25">
      <c r="A25" t="inlineStr" s="5">
        <is>
          <t xml:space="preserve">20</t>
        </is>
      </c>
      <c r="B25" t="inlineStr" s="5">
        <is>
          <t xml:space="preserve">Indus Health Loose Jents Royal 7/10</t>
        </is>
      </c>
      <c r="C25" t="inlineStr" s="5">
        <is>
          <t xml:space="preserve">64041920</t>
        </is>
      </c>
      <c r="D25" t="inlineStr" s="5">
        <is>
          <t xml:space="preserve">12 Pairs</t>
        </is>
      </c>
      <c r="E25" s="2">
        <v>0.00</v>
      </c>
      <c r="F25" s="2">
        <v>75.00</v>
      </c>
      <c r="G25" s="2">
        <v>71.43</v>
      </c>
      <c r="H25" t="inlineStr" s="6">
        <is>
          <t xml:space="preserve"/>
        </is>
      </c>
      <c r="I25" t="inlineStr" s="5">
        <is>
          <t xml:space="preserve">5%</t>
        </is>
      </c>
      <c r="J25" s="2">
        <v>900.00</v>
      </c>
      <c r="K25" t="inlineStr" s="5">
        <is>
          <t xml:space="preserve">MRP नहीं (रेट वाला)</t>
        </is>
      </c>
      <c r="L25" t="inlineStr" s="5">
        <is>
          <t xml:space="preserve"/>
        </is>
      </c>
      <c r="M25" s="2">
        <v>900.00</v>
      </c>
    </row>
    <row r="26">
      <c r="A26" t="inlineStr" s="5">
        <is>
          <t xml:space="preserve">1</t>
        </is>
      </c>
      <c r="B26" t="inlineStr" s="5">
        <is>
          <t xml:space="preserve">Indus Health Loose Jents Royal 7/10</t>
        </is>
      </c>
      <c r="C26" t="inlineStr" s="5">
        <is>
          <t xml:space="preserve">64041920</t>
        </is>
      </c>
      <c r="D26" t="inlineStr" s="5">
        <is>
          <t xml:space="preserve">12 Pairs</t>
        </is>
      </c>
      <c r="E26" s="2">
        <v>0.00</v>
      </c>
      <c r="F26" s="2">
        <v>75.00</v>
      </c>
      <c r="G26" s="2">
        <v>71.43</v>
      </c>
      <c r="H26" t="inlineStr" s="6">
        <is>
          <t xml:space="preserve"/>
        </is>
      </c>
      <c r="I26" t="inlineStr" s="5">
        <is>
          <t xml:space="preserve">5%</t>
        </is>
      </c>
      <c r="J26" s="2">
        <v>900.00</v>
      </c>
      <c r="K26" t="inlineStr" s="5">
        <is>
          <t xml:space="preserve">MRP नहीं (रेट वाला)</t>
        </is>
      </c>
      <c r="L26" t="inlineStr" s="5">
        <is>
          <t xml:space="preserve"/>
        </is>
      </c>
      <c r="M26" s="2">
        <v>900.00</v>
      </c>
    </row>
    <row r="27">
      <c r="B27" t="inlineStr" s="16">
        <is>
          <t xml:space="preserve">Total</t>
        </is>
      </c>
      <c r="D27" t="inlineStr" s="16">
        <is>
          <t xml:space="preserve">234 pairs</t>
        </is>
      </c>
      <c r="J27" s="15">
        <v>40494.00</v>
      </c>
      <c r="K27" s="12">
        <v>36.98</v>
      </c>
      <c r="M27" s="15">
        <f>SUM(M6:M26)</f>
        <v>40494.00</v>
      </c>
    </row>
    <row r="28">
      <c r="B28" t="inlineStr" s="16">
        <is>
          <t xml:space="preserve">GST included (CGST 964.14 + SGST 964.14)</t>
        </is>
      </c>
      <c r="J28" s="15">
        <v>1928.28</v>
      </c>
      <c r="M28" s="15">
        <f>ROUND((M6+M7+M8+M9+M10+M11+M12+M13+M14+M15+M16+M17+M18+M19+M20+M21+M22+M23+M24+M25+M26)*5/(100+5),2)</f>
        <v>1928.30</v>
      </c>
    </row>
    <row r="29">
      <c r="B29" t="inlineStr" s="16">
        <is>
          <t xml:space="preserve">Grand Total (printed on bill)</t>
        </is>
      </c>
      <c r="J29" s="15">
        <v>40494.00</v>
      </c>
      <c r="L29" t="inlineStr" s="16">
        <is>
          <t xml:space="preserve">नया Total →</t>
        </is>
      </c>
      <c r="M29" s="15">
        <f>ROUND(M27,0)</f>
        <v>40494.00</v>
      </c>
    </row>
    <row r="30">
      <c r="B30" t="inlineStr" s="16">
        <is>
          <t xml:space="preserve">Printed total − calculated = ₹0.02 — check the bill</t>
        </is>
      </c>
      <c r="J30" s="8">
        <v>0.02</v>
      </c>
    </row>
    <row r="31"/>
    <row r="32">
      <c r="B32" t="inlineStr" s="16">
        <is>
          <t xml:space="preserve">कंपनी-वार</t>
        </is>
      </c>
      <c r="K32" t="inlineStr" s="11">
        <is>
          <t xml:space="preserve">बैठा % (उन्होंने MRP पर असल कितना दिया)</t>
        </is>
      </c>
      <c r="L32" t="inlineStr" s="10">
        <is>
          <t xml:space="preserve">अपना % (बदल सकते हैं)</t>
        </is>
      </c>
      <c r="M32" t="inlineStr" s="1">
        <is>
          <t xml:space="preserve">नई रकम</t>
        </is>
      </c>
    </row>
    <row r="33">
      <c r="B33" t="inlineStr" s="16">
        <is>
          <t xml:space="preserve">BINNY (10 lines · 150 pairs)</t>
        </is>
      </c>
      <c r="J33" s="15">
        <v>25474.28</v>
      </c>
      <c r="K33" t="inlineStr" s="8">
        <is>
          <t xml:space="preserve">Needs Verification</t>
        </is>
      </c>
      <c r="L33" t="inlineStr" s="5">
        <is>
          <t xml:space="preserve"/>
        </is>
      </c>
      <c r="M33" t="inlineStr" s="5">
        <is>
          <t xml:space="preserve"/>
        </is>
      </c>
    </row>
    <row r="34">
      <c r="B34" t="inlineStr" s="16">
        <is>
          <t xml:space="preserve">KIERO (4 lines · 24 pairs)</t>
        </is>
      </c>
      <c r="J34" s="15">
        <v>5142.86</v>
      </c>
      <c r="K34" t="inlineStr" s="8">
        <is>
          <t xml:space="preserve">Needs Verification</t>
        </is>
      </c>
      <c r="L34" t="inlineStr" s="5">
        <is>
          <t xml:space="preserve"/>
        </is>
      </c>
      <c r="M34" t="inlineStr" s="5">
        <is>
          <t xml:space="preserve"/>
        </is>
      </c>
    </row>
    <row r="35">
      <c r="B35" t="inlineStr" s="16">
        <is>
          <t xml:space="preserve">INDUS (5 lines · 36 pairs)</t>
        </is>
      </c>
      <c r="J35" s="15">
        <v>4948.56</v>
      </c>
      <c r="K35" s="12">
        <v>36.97</v>
      </c>
      <c r="L35" t="inlineStr" s="5">
        <is>
          <t xml:space="preserve"/>
        </is>
      </c>
      <c r="M35" t="inlineStr" s="5">
        <is>
          <t xml:space="preserve"/>
        </is>
      </c>
    </row>
    <row r="36">
      <c r="B36" t="inlineStr" s="16">
        <is>
          <t xml:space="preserve">THREE (1 lines · 18 pairs)</t>
        </is>
      </c>
      <c r="J36" s="15">
        <v>1851.43</v>
      </c>
      <c r="K36" t="inlineStr" s="8">
        <is>
          <t xml:space="preserve">Needs Verification</t>
        </is>
      </c>
      <c r="L36" t="inlineStr" s="5">
        <is>
          <t xml:space="preserve"/>
        </is>
      </c>
      <c r="M36" t="inlineStr" s="5">
        <is>
          <t xml:space="preserve"/>
        </is>
      </c>
    </row>
    <row r="37">
      <c r="B37" t="inlineStr" s="16">
        <is>
          <t xml:space="preserve">MOSACH (1 lines · 6 pairs)</t>
        </is>
      </c>
      <c r="J37" s="15">
        <v>1148.57</v>
      </c>
      <c r="K37" s="12">
        <v>36.99</v>
      </c>
      <c r="L37" t="inlineStr" s="5">
        <is>
          <t xml:space="preserve"/>
        </is>
      </c>
      <c r="M37" t="inlineStr" s="5">
        <is>
          <t xml:space="preserve"/>
        </is>
      </c>
    </row>
  </sheetData>
  <autoFilter ref="A5:M37"/>
  <pageMargins left="0.4" right="0.4" top="0.5" bottom="0.5" header="0.3" footer="0.3"/>
  <pageSetup orientation="landscape" paperSize="9" fitToWidth="1" fitToHeight="0"/>
</worksheet>
</file>