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%'!$A$5:$M$70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4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DHARASHIV FOOTWEAR PVT LTD — Invoice R-2395 — 27-Jul-26</t>
        </is>
      </c>
    </row>
    <row r="2">
      <c r="A2" t="inlineStr" s="0">
        <is>
          <t xml:space="preserve">Buyer: Shivtej Footwear Akluj   ·   Supplier GSTIN: 27AAFCD3805J1ZO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Sr.No</t>
        </is>
      </c>
      <c r="B5" t="inlineStr" s="1">
        <is>
          <t xml:space="preserve">Item Description</t>
        </is>
      </c>
      <c r="C5" t="inlineStr" s="1">
        <is>
          <t xml:space="preserve">HSN</t>
        </is>
      </c>
      <c r="D5" t="inlineStr" s="1">
        <is>
          <t xml:space="preserve">GST%</t>
        </is>
      </c>
      <c r="E5" t="inlineStr" s="1">
        <is>
          <t xml:space="preserve">Size</t>
        </is>
      </c>
      <c r="F5" t="inlineStr" s="1">
        <is>
          <t xml:space="preserve">MRP</t>
        </is>
      </c>
      <c r="G5" t="inlineStr" s="1">
        <is>
          <t xml:space="preserve">Qty</t>
        </is>
      </c>
      <c r="H5" t="inlineStr" s="1">
        <is>
          <t xml:space="preserve">Rate</t>
        </is>
      </c>
      <c r="I5" t="inlineStr" s="10">
        <is>
          <t xml:space="preserve">Disc.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से पहले)</t>
        </is>
      </c>
    </row>
    <row r="6">
      <c r="A6" t="inlineStr" s="5">
        <is>
          <t xml:space="preserve">1.</t>
        </is>
      </c>
      <c r="B6" t="inlineStr" s="5">
        <is>
          <t xml:space="preserve">SM 651 N.BLUE GREY</t>
        </is>
      </c>
      <c r="C6" t="inlineStr" s="5">
        <is>
          <t xml:space="preserve">64029990</t>
        </is>
      </c>
      <c r="D6" t="inlineStr" s="5">
        <is>
          <t xml:space="preserve">5 %</t>
        </is>
      </c>
      <c r="E6" t="inlineStr" s="5">
        <is>
          <t xml:space="preserve">6X10</t>
        </is>
      </c>
      <c r="F6" s="18">
        <v>1049</v>
      </c>
      <c r="G6" t="inlineStr" s="5">
        <is>
          <t xml:space="preserve">6 pair</t>
        </is>
      </c>
      <c r="H6" s="2">
        <v>720.00</v>
      </c>
      <c r="I6" t="inlineStr" s="6">
        <is>
          <t xml:space="preserve">9.82 %</t>
        </is>
      </c>
      <c r="J6" s="2">
        <v>3895.78</v>
      </c>
      <c r="K6" s="12">
        <v>35.01</v>
      </c>
      <c r="L6" t="inlineStr" s="14">
        <is>
          <t xml:space="preserve"/>
        </is>
      </c>
      <c r="M6" s="2">
        <f>IF(L6="",3895.78,ROUND(ROUND(1049*(100-L6)/(100+5),2)*6,2))</f>
        <v>3895.78</v>
      </c>
    </row>
    <row r="7">
      <c r="A7" t="inlineStr" s="5">
        <is>
          <t xml:space="preserve">2.</t>
        </is>
      </c>
      <c r="B7" t="inlineStr" s="5">
        <is>
          <t xml:space="preserve">SM 1120 D.GREY/LT.GREY</t>
        </is>
      </c>
      <c r="C7" t="inlineStr" s="5">
        <is>
          <t xml:space="preserve">64029990</t>
        </is>
      </c>
      <c r="D7" t="inlineStr" s="5">
        <is>
          <t xml:space="preserve">5 %</t>
        </is>
      </c>
      <c r="E7" t="inlineStr" s="5">
        <is>
          <t xml:space="preserve">6X10</t>
        </is>
      </c>
      <c r="F7" s="18">
        <v>1099</v>
      </c>
      <c r="G7" t="inlineStr" s="5">
        <is>
          <t xml:space="preserve">5 pair</t>
        </is>
      </c>
      <c r="H7" s="2">
        <v>754.29</v>
      </c>
      <c r="I7" t="inlineStr" s="6">
        <is>
          <t xml:space="preserve">9.82 %</t>
        </is>
      </c>
      <c r="J7" s="2">
        <v>3401.09</v>
      </c>
      <c r="K7" s="12">
        <v>35.01</v>
      </c>
      <c r="L7" t="inlineStr" s="14">
        <is>
          <t xml:space="preserve"/>
        </is>
      </c>
      <c r="M7" s="2">
        <f>IF(L7="",3401.09,ROUND(ROUND(1099*(100-L7)/(100+5),2)*5,2))</f>
        <v>3401.09</v>
      </c>
    </row>
    <row r="8">
      <c r="A8" t="inlineStr" s="5">
        <is>
          <t xml:space="preserve">3.</t>
        </is>
      </c>
      <c r="B8" t="inlineStr" s="5">
        <is>
          <t xml:space="preserve">SM 1067 D.GREY/LT.GREY</t>
        </is>
      </c>
      <c r="C8" t="inlineStr" s="5">
        <is>
          <t xml:space="preserve">64029990</t>
        </is>
      </c>
      <c r="D8" t="inlineStr" s="5">
        <is>
          <t xml:space="preserve">5 %</t>
        </is>
      </c>
      <c r="E8" t="inlineStr" s="5">
        <is>
          <t xml:space="preserve">7X10</t>
        </is>
      </c>
      <c r="F8" s="18">
        <v>1049</v>
      </c>
      <c r="G8" t="inlineStr" s="5">
        <is>
          <t xml:space="preserve">6 pair</t>
        </is>
      </c>
      <c r="H8" s="2">
        <v>720.00</v>
      </c>
      <c r="I8" t="inlineStr" s="6">
        <is>
          <t xml:space="preserve">9.82 %</t>
        </is>
      </c>
      <c r="J8" s="2">
        <v>3895.78</v>
      </c>
      <c r="K8" s="12">
        <v>35.01</v>
      </c>
      <c r="L8" t="inlineStr" s="14">
        <is>
          <t xml:space="preserve"/>
        </is>
      </c>
      <c r="M8" s="2">
        <f>IF(L8="",3895.78,ROUND(ROUND(1049*(100-L8)/(100+5),2)*6,2))</f>
        <v>3895.78</v>
      </c>
    </row>
    <row r="9">
      <c r="A9" t="inlineStr" s="5">
        <is>
          <t xml:space="preserve">4.</t>
        </is>
      </c>
      <c r="B9" t="inlineStr" s="5">
        <is>
          <t xml:space="preserve">SM 1105 D.GREY/LT.GREY</t>
        </is>
      </c>
      <c r="C9" t="inlineStr" s="5">
        <is>
          <t xml:space="preserve">64029990</t>
        </is>
      </c>
      <c r="D9" t="inlineStr" s="5">
        <is>
          <t xml:space="preserve">5 %</t>
        </is>
      </c>
      <c r="E9" t="inlineStr" s="5">
        <is>
          <t xml:space="preserve">6X10</t>
        </is>
      </c>
      <c r="F9" s="18">
        <v>1249</v>
      </c>
      <c r="G9" t="inlineStr" s="5">
        <is>
          <t xml:space="preserve">1 pair</t>
        </is>
      </c>
      <c r="H9" s="2">
        <v>857.14</v>
      </c>
      <c r="I9" t="inlineStr" s="6">
        <is>
          <t xml:space="preserve">9.82 %</t>
        </is>
      </c>
      <c r="J9" s="2">
        <v>772.97</v>
      </c>
      <c r="K9" s="12">
        <v>35.02</v>
      </c>
      <c r="L9" t="inlineStr" s="14">
        <is>
          <t xml:space="preserve"/>
        </is>
      </c>
      <c r="M9" s="2">
        <f>IF(L9="",772.97,ROUND(ROUND(1249*(100-L9)/(100+5),2)*1,2))</f>
        <v>772.97</v>
      </c>
    </row>
    <row r="10">
      <c r="A10" t="inlineStr" s="5">
        <is>
          <t xml:space="preserve">5.</t>
        </is>
      </c>
      <c r="B10" t="inlineStr" s="5">
        <is>
          <t xml:space="preserve">SM 1105 D.GREY/ LT.GREY</t>
        </is>
      </c>
      <c r="C10" t="inlineStr" s="5">
        <is>
          <t xml:space="preserve">64029990</t>
        </is>
      </c>
      <c r="D10" t="inlineStr" s="5">
        <is>
          <t xml:space="preserve">5 %</t>
        </is>
      </c>
      <c r="E10" t="inlineStr" s="5">
        <is>
          <t xml:space="preserve">7X10</t>
        </is>
      </c>
      <c r="F10" s="18">
        <v>1299</v>
      </c>
      <c r="G10" t="inlineStr" s="5">
        <is>
          <t xml:space="preserve">4 pair</t>
        </is>
      </c>
      <c r="H10" s="2">
        <v>891.43</v>
      </c>
      <c r="I10" t="inlineStr" s="6">
        <is>
          <t xml:space="preserve">9.82 %</t>
        </is>
      </c>
      <c r="J10" s="2">
        <v>3215.57</v>
      </c>
      <c r="K10" s="12">
        <v>35.02</v>
      </c>
      <c r="L10" t="inlineStr" s="14">
        <is>
          <t xml:space="preserve"/>
        </is>
      </c>
      <c r="M10" s="2">
        <f>IF(L10="",3215.57,ROUND(ROUND(1299*(100-L10)/(100+5),2)*4,2))</f>
        <v>3215.57</v>
      </c>
    </row>
    <row r="11">
      <c r="A11" t="inlineStr" s="5">
        <is>
          <t xml:space="preserve">6.</t>
        </is>
      </c>
      <c r="B11" t="inlineStr" s="5">
        <is>
          <t xml:space="preserve">SM 722 GREY NEON ORANGE</t>
        </is>
      </c>
      <c r="C11" t="inlineStr" s="5">
        <is>
          <t xml:space="preserve">64029990</t>
        </is>
      </c>
      <c r="D11" t="inlineStr" s="5">
        <is>
          <t xml:space="preserve">5 %</t>
        </is>
      </c>
      <c r="E11" t="inlineStr" s="5">
        <is>
          <t xml:space="preserve">7X10</t>
        </is>
      </c>
      <c r="F11" s="18">
        <v>1399</v>
      </c>
      <c r="G11" t="inlineStr" s="5">
        <is>
          <t xml:space="preserve">6 pair</t>
        </is>
      </c>
      <c r="H11" s="2">
        <v>960.00</v>
      </c>
      <c r="I11" t="inlineStr" s="6">
        <is>
          <t xml:space="preserve">9.82 %</t>
        </is>
      </c>
      <c r="J11" s="2">
        <v>5194.37</v>
      </c>
      <c r="K11" s="12">
        <v>35.02</v>
      </c>
      <c r="L11" t="inlineStr" s="14">
        <is>
          <t xml:space="preserve"/>
        </is>
      </c>
      <c r="M11" s="2">
        <f>IF(L11="",5194.37,ROUND(ROUND(1399*(100-L11)/(100+5),2)*6,2))</f>
        <v>5194.37</v>
      </c>
    </row>
    <row r="12">
      <c r="A12" t="inlineStr" s="5">
        <is>
          <t xml:space="preserve">7.</t>
        </is>
      </c>
      <c r="B12" t="inlineStr" s="5">
        <is>
          <t xml:space="preserve">SM 766 N.BLUE/ B.GRAY</t>
        </is>
      </c>
      <c r="C12" t="inlineStr" s="5">
        <is>
          <t xml:space="preserve">64029990</t>
        </is>
      </c>
      <c r="D12" t="inlineStr" s="5">
        <is>
          <t xml:space="preserve">5 %</t>
        </is>
      </c>
      <c r="E12" t="inlineStr" s="5">
        <is>
          <t xml:space="preserve">7X10</t>
        </is>
      </c>
      <c r="F12" s="18">
        <v>1049</v>
      </c>
      <c r="G12" t="inlineStr" s="5">
        <is>
          <t xml:space="preserve">1 pair</t>
        </is>
      </c>
      <c r="H12" s="2">
        <v>720.00</v>
      </c>
      <c r="I12" t="inlineStr" s="6">
        <is>
          <t xml:space="preserve">9.82 %</t>
        </is>
      </c>
      <c r="J12" s="2">
        <v>649.30</v>
      </c>
      <c r="K12" s="12">
        <v>35.01</v>
      </c>
      <c r="L12" t="inlineStr" s="14">
        <is>
          <t xml:space="preserve"/>
        </is>
      </c>
      <c r="M12" s="2">
        <f>IF(L12="",649.30,ROUND(ROUND(1049*(100-L12)/(100+5),2)*1,2))</f>
        <v>649.30</v>
      </c>
    </row>
    <row r="13">
      <c r="A13" t="inlineStr" s="5">
        <is>
          <t xml:space="preserve">8.</t>
        </is>
      </c>
      <c r="B13" t="inlineStr" s="5">
        <is>
          <t xml:space="preserve">SM 766 N.BLUE B.GREY</t>
        </is>
      </c>
      <c r="C13" t="inlineStr" s="5">
        <is>
          <t xml:space="preserve">64029990</t>
        </is>
      </c>
      <c r="D13" t="inlineStr" s="5">
        <is>
          <t xml:space="preserve">5 %</t>
        </is>
      </c>
      <c r="E13" t="inlineStr" s="5">
        <is>
          <t xml:space="preserve">7X10</t>
        </is>
      </c>
      <c r="F13" s="18">
        <v>1099</v>
      </c>
      <c r="G13" t="inlineStr" s="5">
        <is>
          <t xml:space="preserve">5 pair</t>
        </is>
      </c>
      <c r="H13" s="2">
        <v>754.29</v>
      </c>
      <c r="I13" t="inlineStr" s="6">
        <is>
          <t xml:space="preserve">9.82 %</t>
        </is>
      </c>
      <c r="J13" s="2">
        <v>3401.09</v>
      </c>
      <c r="K13" s="12">
        <v>35.01</v>
      </c>
      <c r="L13" t="inlineStr" s="14">
        <is>
          <t xml:space="preserve"/>
        </is>
      </c>
      <c r="M13" s="2">
        <f>IF(L13="",3401.09,ROUND(ROUND(1099*(100-L13)/(100+5),2)*5,2))</f>
        <v>3401.09</v>
      </c>
    </row>
    <row r="14">
      <c r="A14" t="inlineStr" s="5">
        <is>
          <t xml:space="preserve">9.</t>
        </is>
      </c>
      <c r="B14" t="inlineStr" s="5">
        <is>
          <t xml:space="preserve">SM 472 GREY N ORANGE</t>
        </is>
      </c>
      <c r="C14" t="inlineStr" s="5">
        <is>
          <t xml:space="preserve">64029990</t>
        </is>
      </c>
      <c r="D14" t="inlineStr" s="5">
        <is>
          <t xml:space="preserve">5 %</t>
        </is>
      </c>
      <c r="E14" t="inlineStr" s="5">
        <is>
          <t xml:space="preserve">11X12</t>
        </is>
      </c>
      <c r="F14" s="18">
        <v>1699</v>
      </c>
      <c r="G14" t="inlineStr" s="5">
        <is>
          <t xml:space="preserve">4 pair</t>
        </is>
      </c>
      <c r="H14" s="2">
        <v>1165.71</v>
      </c>
      <c r="I14" t="inlineStr" s="6">
        <is>
          <t xml:space="preserve">9.82 %</t>
        </is>
      </c>
      <c r="J14" s="2">
        <v>4204.95</v>
      </c>
      <c r="K14" s="12">
        <v>35.03</v>
      </c>
      <c r="L14" t="inlineStr" s="14">
        <is>
          <t xml:space="preserve"/>
        </is>
      </c>
      <c r="M14" s="2">
        <f>IF(L14="",4204.95,ROUND(ROUND(1699*(100-L14)/(100+5),2)*4,2))</f>
        <v>4204.95</v>
      </c>
    </row>
    <row r="15">
      <c r="A15" t="inlineStr" s="5">
        <is>
          <t xml:space="preserve">10.</t>
        </is>
      </c>
      <c r="B15" t="inlineStr" s="5">
        <is>
          <t xml:space="preserve">SM 472 GREY NEON ORANGE</t>
        </is>
      </c>
      <c r="C15" t="inlineStr" s="5">
        <is>
          <t xml:space="preserve">64029990</t>
        </is>
      </c>
      <c r="D15" t="inlineStr" s="5">
        <is>
          <t xml:space="preserve">5 %</t>
        </is>
      </c>
      <c r="E15" t="inlineStr" s="5">
        <is>
          <t xml:space="preserve">7X10</t>
        </is>
      </c>
      <c r="F15" s="18">
        <v>1549</v>
      </c>
      <c r="G15" t="inlineStr" s="5">
        <is>
          <t xml:space="preserve">2 pair</t>
        </is>
      </c>
      <c r="H15" s="2">
        <v>1062.86</v>
      </c>
      <c r="I15" t="inlineStr" s="6">
        <is>
          <t xml:space="preserve">9.82 %</t>
        </is>
      </c>
      <c r="J15" s="2">
        <v>1916.97</v>
      </c>
      <c r="K15" s="12">
        <v>35.03</v>
      </c>
      <c r="L15" t="inlineStr" s="14">
        <is>
          <t xml:space="preserve"/>
        </is>
      </c>
      <c r="M15" s="2">
        <f>IF(L15="",1916.97,ROUND(ROUND(1549*(100-L15)/(100+5),2)*2,2))</f>
        <v>1916.97</v>
      </c>
    </row>
    <row r="16">
      <c r="A16" t="inlineStr" s="5">
        <is>
          <t xml:space="preserve">11.</t>
        </is>
      </c>
      <c r="B16" t="inlineStr" s="5">
        <is>
          <t xml:space="preserve">SM 472 BLACK RED</t>
        </is>
      </c>
      <c r="C16" t="inlineStr" s="5">
        <is>
          <t xml:space="preserve">64029990</t>
        </is>
      </c>
      <c r="D16" t="inlineStr" s="5">
        <is>
          <t xml:space="preserve">5 %</t>
        </is>
      </c>
      <c r="E16" t="inlineStr" s="5">
        <is>
          <t xml:space="preserve">7X10</t>
        </is>
      </c>
      <c r="F16" s="18">
        <v>1549</v>
      </c>
      <c r="G16" t="inlineStr" s="5">
        <is>
          <t xml:space="preserve">1 pair</t>
        </is>
      </c>
      <c r="H16" s="2">
        <v>1062.86</v>
      </c>
      <c r="I16" t="inlineStr" s="6">
        <is>
          <t xml:space="preserve">9.82 %</t>
        </is>
      </c>
      <c r="J16" s="2">
        <v>958.49</v>
      </c>
      <c r="K16" s="12">
        <v>35.03</v>
      </c>
      <c r="L16" t="inlineStr" s="14">
        <is>
          <t xml:space="preserve"/>
        </is>
      </c>
      <c r="M16" s="2">
        <f>IF(L16="",958.49,ROUND(ROUND(1549*(100-L16)/(100+5),2)*1,2))</f>
        <v>958.49</v>
      </c>
    </row>
    <row r="17">
      <c r="A17" t="inlineStr" s="5">
        <is>
          <t xml:space="preserve">12.</t>
        </is>
      </c>
      <c r="B17" t="inlineStr" s="5">
        <is>
          <t xml:space="preserve">SM 472 BLACK RED</t>
        </is>
      </c>
      <c r="C17" t="inlineStr" s="5">
        <is>
          <t xml:space="preserve">64029990</t>
        </is>
      </c>
      <c r="D17" t="inlineStr" s="5">
        <is>
          <t xml:space="preserve">5 %</t>
        </is>
      </c>
      <c r="E17" t="inlineStr" s="5">
        <is>
          <t xml:space="preserve">6X10</t>
        </is>
      </c>
      <c r="F17" s="18">
        <v>1599</v>
      </c>
      <c r="G17" t="inlineStr" s="5">
        <is>
          <t xml:space="preserve">2 pair</t>
        </is>
      </c>
      <c r="H17" s="2">
        <v>1097.14</v>
      </c>
      <c r="I17" t="inlineStr" s="6">
        <is>
          <t xml:space="preserve">9.82 %</t>
        </is>
      </c>
      <c r="J17" s="2">
        <v>1978.80</v>
      </c>
      <c r="K17" s="12">
        <v>35.03</v>
      </c>
      <c r="L17" t="inlineStr" s="14">
        <is>
          <t xml:space="preserve"/>
        </is>
      </c>
      <c r="M17" s="2">
        <f>IF(L17="",1978.80,ROUND(ROUND(1599*(100-L17)/(100+5),2)*2,2))</f>
        <v>1978.80</v>
      </c>
    </row>
    <row r="18">
      <c r="A18" t="inlineStr" s="5">
        <is>
          <t xml:space="preserve">13.</t>
        </is>
      </c>
      <c r="B18" t="inlineStr" s="5">
        <is>
          <t xml:space="preserve">SM 472 BLACK RED</t>
        </is>
      </c>
      <c r="C18" t="inlineStr" s="5">
        <is>
          <t xml:space="preserve">64029990</t>
        </is>
      </c>
      <c r="D18" t="inlineStr" s="5">
        <is>
          <t xml:space="preserve">5 %</t>
        </is>
      </c>
      <c r="E18" t="inlineStr" s="5">
        <is>
          <t xml:space="preserve">7X10</t>
        </is>
      </c>
      <c r="F18" s="18">
        <v>1699</v>
      </c>
      <c r="G18" t="inlineStr" s="5">
        <is>
          <t xml:space="preserve">1 pair</t>
        </is>
      </c>
      <c r="H18" s="2">
        <v>1165.71</v>
      </c>
      <c r="I18" t="inlineStr" s="6">
        <is>
          <t xml:space="preserve">9.82 %</t>
        </is>
      </c>
      <c r="J18" s="2">
        <v>1051.24</v>
      </c>
      <c r="K18" s="12">
        <v>35.03</v>
      </c>
      <c r="L18" t="inlineStr" s="14">
        <is>
          <t xml:space="preserve"/>
        </is>
      </c>
      <c r="M18" s="2">
        <f>IF(L18="",1051.24,ROUND(ROUND(1699*(100-L18)/(100+5),2)*1,2))</f>
        <v>1051.24</v>
      </c>
    </row>
    <row r="19">
      <c r="A19" t="inlineStr" s="5">
        <is>
          <t xml:space="preserve">14.</t>
        </is>
      </c>
      <c r="B19" t="inlineStr" s="5">
        <is>
          <t xml:space="preserve">SFG 48 CAMEL F.ORANGE</t>
        </is>
      </c>
      <c r="C19" t="inlineStr" s="5">
        <is>
          <t xml:space="preserve">64029990</t>
        </is>
      </c>
      <c r="D19" t="inlineStr" s="5">
        <is>
          <t xml:space="preserve">5 %</t>
        </is>
      </c>
      <c r="E19" t="inlineStr" s="5">
        <is>
          <t xml:space="preserve">6X10</t>
        </is>
      </c>
      <c r="F19" s="18">
        <v>549</v>
      </c>
      <c r="G19" t="inlineStr" s="5">
        <is>
          <t xml:space="preserve">2 pair</t>
        </is>
      </c>
      <c r="H19" s="2">
        <v>377.14</v>
      </c>
      <c r="I19" t="inlineStr" s="6">
        <is>
          <t xml:space="preserve">9.82 %</t>
        </is>
      </c>
      <c r="J19" s="2">
        <v>680.21</v>
      </c>
      <c r="K19" s="12">
        <v>34.95</v>
      </c>
      <c r="L19" t="inlineStr" s="14">
        <is>
          <t xml:space="preserve"/>
        </is>
      </c>
      <c r="M19" s="2">
        <f>IF(L19="",680.21,ROUND(ROUND(549*(100-L19)/(100+5),2)*2,2))</f>
        <v>680.21</v>
      </c>
    </row>
    <row r="20">
      <c r="A20" t="inlineStr" s="5">
        <is>
          <t xml:space="preserve">15.</t>
        </is>
      </c>
      <c r="B20" t="inlineStr" s="5">
        <is>
          <t xml:space="preserve">SFG 48 CAMAL F ORANGE</t>
        </is>
      </c>
      <c r="C20" t="inlineStr" s="5">
        <is>
          <t xml:space="preserve">64029990</t>
        </is>
      </c>
      <c r="D20" t="inlineStr" s="5">
        <is>
          <t xml:space="preserve">5 %</t>
        </is>
      </c>
      <c r="E20" t="inlineStr" s="5">
        <is>
          <t xml:space="preserve">7X10.</t>
        </is>
      </c>
      <c r="F20" s="18">
        <v>599</v>
      </c>
      <c r="G20" t="inlineStr" s="5">
        <is>
          <t xml:space="preserve">4 pair</t>
        </is>
      </c>
      <c r="H20" s="2">
        <v>411.43</v>
      </c>
      <c r="I20" t="inlineStr" s="6">
        <is>
          <t xml:space="preserve">9.82 %</t>
        </is>
      </c>
      <c r="J20" s="2">
        <v>1484.11</v>
      </c>
      <c r="K20" s="12">
        <v>34.96</v>
      </c>
      <c r="L20" t="inlineStr" s="14">
        <is>
          <t xml:space="preserve"/>
        </is>
      </c>
      <c r="M20" s="2">
        <f>IF(L20="",1484.11,ROUND(ROUND(599*(100-L20)/(100+5),2)*4,2))</f>
        <v>1484.11</v>
      </c>
    </row>
    <row r="21">
      <c r="A21" t="inlineStr" s="5">
        <is>
          <t xml:space="preserve">16.</t>
        </is>
      </c>
      <c r="B21" t="inlineStr" s="5">
        <is>
          <t xml:space="preserve">SFG 48 BLACK RED</t>
        </is>
      </c>
      <c r="C21" t="inlineStr" s="5">
        <is>
          <t xml:space="preserve">64029990</t>
        </is>
      </c>
      <c r="D21" t="inlineStr" s="5">
        <is>
          <t xml:space="preserve">5 %</t>
        </is>
      </c>
      <c r="E21" t="inlineStr" s="5">
        <is>
          <t xml:space="preserve">7X10</t>
        </is>
      </c>
      <c r="F21" s="18">
        <v>599</v>
      </c>
      <c r="G21" t="inlineStr" s="5">
        <is>
          <t xml:space="preserve">14 pair</t>
        </is>
      </c>
      <c r="H21" s="2">
        <v>411.43</v>
      </c>
      <c r="I21" t="inlineStr" s="6">
        <is>
          <t xml:space="preserve">9.82 %</t>
        </is>
      </c>
      <c r="J21" s="2">
        <v>5194.39</v>
      </c>
      <c r="K21" s="12">
        <v>34.96</v>
      </c>
      <c r="L21" t="inlineStr" s="14">
        <is>
          <t xml:space="preserve"/>
        </is>
      </c>
      <c r="M21" s="2">
        <f>IF(L21="",5194.39,ROUND(ROUND(599*(100-L21)/(100+5),2)*14,2))</f>
        <v>5194.39</v>
      </c>
    </row>
    <row r="22">
      <c r="A22" t="inlineStr" s="5">
        <is>
          <t xml:space="preserve">17.</t>
        </is>
      </c>
      <c r="B22" t="inlineStr" s="5">
        <is>
          <t xml:space="preserve">SFG 192 BLACK SILVER</t>
        </is>
      </c>
      <c r="C22" t="inlineStr" s="5">
        <is>
          <t xml:space="preserve">64029990</t>
        </is>
      </c>
      <c r="D22" t="inlineStr" s="5">
        <is>
          <t xml:space="preserve">5 %</t>
        </is>
      </c>
      <c r="E22" t="inlineStr" s="5">
        <is>
          <t xml:space="preserve">7X10</t>
        </is>
      </c>
      <c r="F22" s="2">
        <v>449.50</v>
      </c>
      <c r="G22" t="inlineStr" s="5">
        <is>
          <t xml:space="preserve">5 pair</t>
        </is>
      </c>
      <c r="H22" s="2">
        <v>308.57</v>
      </c>
      <c r="I22" t="inlineStr" s="6">
        <is>
          <t xml:space="preserve">9.82 %</t>
        </is>
      </c>
      <c r="J22" s="2">
        <v>1391.34</v>
      </c>
      <c r="K22" s="12">
        <v>35.00</v>
      </c>
      <c r="L22" t="inlineStr" s="14">
        <is>
          <t xml:space="preserve"/>
        </is>
      </c>
      <c r="M22" s="2">
        <f>IF(L22="",1391.34,ROUND(ROUND(449.50*(100-L22)/(100+5),2)*5,2))</f>
        <v>1391.34</v>
      </c>
    </row>
    <row r="23">
      <c r="A23" t="inlineStr" s="5">
        <is>
          <t xml:space="preserve">18.</t>
        </is>
      </c>
      <c r="B23" t="inlineStr" s="5">
        <is>
          <t xml:space="preserve">SFG 57 D.GREY F.ORANGE</t>
        </is>
      </c>
      <c r="C23" t="inlineStr" s="5">
        <is>
          <t xml:space="preserve">64029990</t>
        </is>
      </c>
      <c r="D23" t="inlineStr" s="5">
        <is>
          <t xml:space="preserve">5 %</t>
        </is>
      </c>
      <c r="E23" t="inlineStr" s="5">
        <is>
          <t xml:space="preserve">6X10</t>
        </is>
      </c>
      <c r="F23" s="18">
        <v>999</v>
      </c>
      <c r="G23" t="inlineStr" s="5">
        <is>
          <t xml:space="preserve">9 pair</t>
        </is>
      </c>
      <c r="H23" s="2">
        <v>685.71</v>
      </c>
      <c r="I23" t="inlineStr" s="6">
        <is>
          <t xml:space="preserve">9.82 %</t>
        </is>
      </c>
      <c r="J23" s="2">
        <v>5565.36</v>
      </c>
      <c r="K23" s="12">
        <v>35.01</v>
      </c>
      <c r="L23" t="inlineStr" s="14">
        <is>
          <t xml:space="preserve"/>
        </is>
      </c>
      <c r="M23" s="2">
        <f>IF(L23="",5565.36,ROUND(ROUND(999*(100-L23)/(100+5),2)*9,2))</f>
        <v>5565.36</v>
      </c>
    </row>
    <row r="24">
      <c r="A24" t="inlineStr" s="5">
        <is>
          <t xml:space="preserve">19.</t>
        </is>
      </c>
      <c r="B24" t="inlineStr" s="5">
        <is>
          <t xml:space="preserve">SFG 57 BROWN/TAN</t>
        </is>
      </c>
      <c r="C24" t="inlineStr" s="5">
        <is>
          <t xml:space="preserve">64029990</t>
        </is>
      </c>
      <c r="D24" t="inlineStr" s="5">
        <is>
          <t xml:space="preserve">5 %</t>
        </is>
      </c>
      <c r="E24" t="inlineStr" s="5">
        <is>
          <t xml:space="preserve">7X10</t>
        </is>
      </c>
      <c r="F24" s="18">
        <v>999</v>
      </c>
      <c r="G24" t="inlineStr" s="5">
        <is>
          <t xml:space="preserve">4 pair</t>
        </is>
      </c>
      <c r="H24" s="2">
        <v>685.71</v>
      </c>
      <c r="I24" t="inlineStr" s="6">
        <is>
          <t xml:space="preserve">9.82 %</t>
        </is>
      </c>
      <c r="J24" s="2">
        <v>2473.49</v>
      </c>
      <c r="K24" s="12">
        <v>35.01</v>
      </c>
      <c r="L24" t="inlineStr" s="14">
        <is>
          <t xml:space="preserve"/>
        </is>
      </c>
      <c r="M24" s="2">
        <f>IF(L24="",2473.49,ROUND(ROUND(999*(100-L24)/(100+5),2)*4,2))</f>
        <v>2473.49</v>
      </c>
    </row>
    <row r="25">
      <c r="A25" t="inlineStr" s="5">
        <is>
          <t xml:space="preserve">20.</t>
        </is>
      </c>
      <c r="B25" t="inlineStr" s="5">
        <is>
          <t xml:space="preserve">SFG 57 BLK YELLOW</t>
        </is>
      </c>
      <c r="C25" t="inlineStr" s="5">
        <is>
          <t xml:space="preserve">64029990</t>
        </is>
      </c>
      <c r="D25" t="inlineStr" s="5">
        <is>
          <t xml:space="preserve">5 %</t>
        </is>
      </c>
      <c r="E25" t="inlineStr" s="5">
        <is>
          <t xml:space="preserve">6X10</t>
        </is>
      </c>
      <c r="F25" s="18">
        <v>999</v>
      </c>
      <c r="G25" t="inlineStr" s="5">
        <is>
          <t xml:space="preserve">2 pair</t>
        </is>
      </c>
      <c r="H25" s="2">
        <v>685.71</v>
      </c>
      <c r="I25" t="inlineStr" s="6">
        <is>
          <t xml:space="preserve">9.82 %</t>
        </is>
      </c>
      <c r="J25" s="2">
        <v>1236.75</v>
      </c>
      <c r="K25" s="12">
        <v>35.01</v>
      </c>
      <c r="L25" t="inlineStr" s="14">
        <is>
          <t xml:space="preserve"/>
        </is>
      </c>
      <c r="M25" s="2">
        <f>IF(L25="",1236.75,ROUND(ROUND(999*(100-L25)/(100+5),2)*2,2))</f>
        <v>1236.75</v>
      </c>
    </row>
    <row r="26">
      <c r="A26" t="inlineStr" s="5">
        <is>
          <t xml:space="preserve">21.</t>
        </is>
      </c>
      <c r="B26" t="inlineStr" s="5">
        <is>
          <t xml:space="preserve">SFG 143 BLACK WHITE</t>
        </is>
      </c>
      <c r="C26" t="inlineStr" s="5">
        <is>
          <t xml:space="preserve">64029990</t>
        </is>
      </c>
      <c r="D26" t="inlineStr" s="5">
        <is>
          <t xml:space="preserve">5 %</t>
        </is>
      </c>
      <c r="E26" t="inlineStr" s="5">
        <is>
          <t xml:space="preserve">6X10</t>
        </is>
      </c>
      <c r="F26" s="2">
        <v>499.50</v>
      </c>
      <c r="G26" t="inlineStr" s="5">
        <is>
          <t xml:space="preserve">1 pair</t>
        </is>
      </c>
      <c r="H26" s="2">
        <v>342.86</v>
      </c>
      <c r="I26" t="inlineStr" s="6">
        <is>
          <t xml:space="preserve">9.82 %</t>
        </is>
      </c>
      <c r="J26" s="2">
        <v>309.19</v>
      </c>
      <c r="K26" s="12">
        <v>35.01</v>
      </c>
      <c r="L26" t="inlineStr" s="14">
        <is>
          <t xml:space="preserve"/>
        </is>
      </c>
      <c r="M26" s="2">
        <f>IF(L26="",309.19,ROUND(ROUND(499.50*(100-L26)/(100+5),2)*1,2))</f>
        <v>309.19</v>
      </c>
    </row>
    <row r="27">
      <c r="A27" t="inlineStr" s="5">
        <is>
          <t xml:space="preserve">22.</t>
        </is>
      </c>
      <c r="B27" t="inlineStr" s="5">
        <is>
          <t xml:space="preserve">SFG 4049 GREY BLACK</t>
        </is>
      </c>
      <c r="C27" t="inlineStr" s="5">
        <is>
          <t xml:space="preserve">64029990</t>
        </is>
      </c>
      <c r="D27" t="inlineStr" s="5">
        <is>
          <t xml:space="preserve">5 %</t>
        </is>
      </c>
      <c r="E27" t="inlineStr" s="5">
        <is>
          <t xml:space="preserve">8X10</t>
        </is>
      </c>
      <c r="F27" s="2">
        <v>499.50</v>
      </c>
      <c r="G27" t="inlineStr" s="5">
        <is>
          <t xml:space="preserve">6 pair</t>
        </is>
      </c>
      <c r="H27" s="2">
        <v>342.86</v>
      </c>
      <c r="I27" t="inlineStr" s="6">
        <is>
          <t xml:space="preserve">9.82 %</t>
        </is>
      </c>
      <c r="J27" s="2">
        <v>1855.15</v>
      </c>
      <c r="K27" s="12">
        <v>35.00</v>
      </c>
      <c r="L27" t="inlineStr" s="14">
        <is>
          <t xml:space="preserve"/>
        </is>
      </c>
      <c r="M27" s="2">
        <f>IF(L27="",1855.15,ROUND(ROUND(499.50*(100-L27)/(100+5),2)*6,2))</f>
        <v>1855.15</v>
      </c>
    </row>
    <row r="28">
      <c r="A28" t="inlineStr" s="5">
        <is>
          <t xml:space="preserve">23.</t>
        </is>
      </c>
      <c r="B28" t="inlineStr" s="5">
        <is>
          <t xml:space="preserve">SFG 4049 OLIVE BEIGE</t>
        </is>
      </c>
      <c r="C28" t="inlineStr" s="5">
        <is>
          <t xml:space="preserve">64029990</t>
        </is>
      </c>
      <c r="D28" t="inlineStr" s="5">
        <is>
          <t xml:space="preserve">5 %</t>
        </is>
      </c>
      <c r="E28" t="inlineStr" s="5">
        <is>
          <t xml:space="preserve">6X10</t>
        </is>
      </c>
      <c r="F28" s="2">
        <v>449.50</v>
      </c>
      <c r="G28" t="inlineStr" s="5">
        <is>
          <t xml:space="preserve">2 pair</t>
        </is>
      </c>
      <c r="H28" s="2">
        <v>308.57</v>
      </c>
      <c r="I28" t="inlineStr" s="6">
        <is>
          <t xml:space="preserve">9.82 %</t>
        </is>
      </c>
      <c r="J28" s="2">
        <v>556.54</v>
      </c>
      <c r="K28" s="12">
        <v>35.00</v>
      </c>
      <c r="L28" t="inlineStr" s="14">
        <is>
          <t xml:space="preserve"/>
        </is>
      </c>
      <c r="M28" s="2">
        <f>IF(L28="",556.54,ROUND(ROUND(449.50*(100-L28)/(100+5),2)*2,2))</f>
        <v>556.54</v>
      </c>
    </row>
    <row r="29">
      <c r="A29" t="inlineStr" s="5">
        <is>
          <t xml:space="preserve">24.</t>
        </is>
      </c>
      <c r="B29" t="inlineStr" s="5">
        <is>
          <t xml:space="preserve">SFG 183 CAMEL BROWN</t>
        </is>
      </c>
      <c r="C29" t="inlineStr" s="5">
        <is>
          <t xml:space="preserve">64029990</t>
        </is>
      </c>
      <c r="D29" t="inlineStr" s="5">
        <is>
          <t xml:space="preserve">5 %</t>
        </is>
      </c>
      <c r="E29" t="inlineStr" s="5">
        <is>
          <t xml:space="preserve">6X10</t>
        </is>
      </c>
      <c r="F29" s="18">
        <v>949</v>
      </c>
      <c r="G29" t="inlineStr" s="5">
        <is>
          <t xml:space="preserve">1 pair</t>
        </is>
      </c>
      <c r="H29" s="2">
        <v>651.43</v>
      </c>
      <c r="I29" t="inlineStr" s="6">
        <is>
          <t xml:space="preserve">9.82 %</t>
        </is>
      </c>
      <c r="J29" s="2">
        <v>587.46</v>
      </c>
      <c r="K29" s="12">
        <v>35.00</v>
      </c>
      <c r="L29" t="inlineStr" s="14">
        <is>
          <t xml:space="preserve"/>
        </is>
      </c>
      <c r="M29" s="2">
        <f>IF(L29="",587.46,ROUND(ROUND(949*(100-L29)/(100+5),2)*1,2))</f>
        <v>587.46</v>
      </c>
    </row>
    <row r="30">
      <c r="A30" t="inlineStr" s="5">
        <is>
          <t xml:space="preserve">25.</t>
        </is>
      </c>
      <c r="B30" t="inlineStr" s="5">
        <is>
          <t xml:space="preserve">SFG 183 CAMAL BROWN</t>
        </is>
      </c>
      <c r="C30" t="inlineStr" s="5">
        <is>
          <t xml:space="preserve">64029990</t>
        </is>
      </c>
      <c r="D30" t="inlineStr" s="5">
        <is>
          <t xml:space="preserve">5 %</t>
        </is>
      </c>
      <c r="E30" t="inlineStr" s="5">
        <is>
          <t xml:space="preserve">6X10</t>
        </is>
      </c>
      <c r="F30" s="18">
        <v>999</v>
      </c>
      <c r="G30" t="inlineStr" s="5">
        <is>
          <t xml:space="preserve">4 pair</t>
        </is>
      </c>
      <c r="H30" s="2">
        <v>685.71</v>
      </c>
      <c r="I30" t="inlineStr" s="6">
        <is>
          <t xml:space="preserve">9.82 %</t>
        </is>
      </c>
      <c r="J30" s="2">
        <v>2473.49</v>
      </c>
      <c r="K30" s="12">
        <v>35.01</v>
      </c>
      <c r="L30" t="inlineStr" s="14">
        <is>
          <t xml:space="preserve"/>
        </is>
      </c>
      <c r="M30" s="2">
        <f>IF(L30="",2473.49,ROUND(ROUND(999*(100-L30)/(100+5),2)*4,2))</f>
        <v>2473.49</v>
      </c>
    </row>
    <row r="31">
      <c r="A31" t="inlineStr" s="5">
        <is>
          <t xml:space="preserve">26.</t>
        </is>
      </c>
      <c r="B31" t="inlineStr" s="5">
        <is>
          <t xml:space="preserve">SFG 196 FT.GREEN CAMEL</t>
        </is>
      </c>
      <c r="C31" t="inlineStr" s="5">
        <is>
          <t xml:space="preserve">64029990</t>
        </is>
      </c>
      <c r="D31" t="inlineStr" s="5">
        <is>
          <t xml:space="preserve">5 %</t>
        </is>
      </c>
      <c r="E31" t="inlineStr" s="5">
        <is>
          <t xml:space="preserve">7X10</t>
        </is>
      </c>
      <c r="F31" s="18">
        <v>599</v>
      </c>
      <c r="G31" t="inlineStr" s="5">
        <is>
          <t xml:space="preserve">5 pair</t>
        </is>
      </c>
      <c r="H31" s="2">
        <v>411.43</v>
      </c>
      <c r="I31" t="inlineStr" s="6">
        <is>
          <t xml:space="preserve">9.82 %</t>
        </is>
      </c>
      <c r="J31" s="2">
        <v>1855.14</v>
      </c>
      <c r="K31" s="12">
        <v>34.96</v>
      </c>
      <c r="L31" t="inlineStr" s="14">
        <is>
          <t xml:space="preserve"/>
        </is>
      </c>
      <c r="M31" s="2">
        <f>IF(L31="",1855.14,ROUND(ROUND(599*(100-L31)/(100+5),2)*5,2))</f>
        <v>1855.14</v>
      </c>
    </row>
    <row r="32">
      <c r="A32" t="inlineStr" s="5">
        <is>
          <t xml:space="preserve">27.</t>
        </is>
      </c>
      <c r="B32" t="inlineStr" s="5">
        <is>
          <t xml:space="preserve">SFG 241 D.GREY NEON GREEN</t>
        </is>
      </c>
      <c r="C32" t="inlineStr" s="5">
        <is>
          <t xml:space="preserve">64029990</t>
        </is>
      </c>
      <c r="D32" t="inlineStr" s="5">
        <is>
          <t xml:space="preserve">5 %</t>
        </is>
      </c>
      <c r="E32" t="inlineStr" s="5">
        <is>
          <t xml:space="preserve">8X10</t>
        </is>
      </c>
      <c r="F32" s="18">
        <v>549</v>
      </c>
      <c r="G32" t="inlineStr" s="5">
        <is>
          <t xml:space="preserve">6 pair</t>
        </is>
      </c>
      <c r="H32" s="2">
        <v>377.14</v>
      </c>
      <c r="I32" t="inlineStr" s="6">
        <is>
          <t xml:space="preserve">9.82 %</t>
        </is>
      </c>
      <c r="J32" s="2">
        <v>2040.63</v>
      </c>
      <c r="K32" s="12">
        <v>34.95</v>
      </c>
      <c r="L32" t="inlineStr" s="14">
        <is>
          <t xml:space="preserve"/>
        </is>
      </c>
      <c r="M32" s="2">
        <f>IF(L32="",2040.63,ROUND(ROUND(549*(100-L32)/(100+5),2)*6,2))</f>
        <v>2040.63</v>
      </c>
    </row>
    <row r="33">
      <c r="A33" t="inlineStr" s="5">
        <is>
          <t xml:space="preserve">28.</t>
        </is>
      </c>
      <c r="B33" t="inlineStr" s="5">
        <is>
          <t xml:space="preserve">SFG 241 BLACK M. ORANGE</t>
        </is>
      </c>
      <c r="C33" t="inlineStr" s="5">
        <is>
          <t xml:space="preserve">64029990</t>
        </is>
      </c>
      <c r="D33" t="inlineStr" s="5">
        <is>
          <t xml:space="preserve">5 %</t>
        </is>
      </c>
      <c r="E33" t="inlineStr" s="5">
        <is>
          <t xml:space="preserve">7X10</t>
        </is>
      </c>
      <c r="F33" s="2">
        <v>549.50</v>
      </c>
      <c r="G33" t="inlineStr" s="5">
        <is>
          <t xml:space="preserve">8 pair</t>
        </is>
      </c>
      <c r="H33" s="2">
        <v>377.14</v>
      </c>
      <c r="I33" t="inlineStr" s="6">
        <is>
          <t xml:space="preserve">9.82 %</t>
        </is>
      </c>
      <c r="J33" s="2">
        <v>2720.84</v>
      </c>
      <c r="K33" s="12">
        <v>35.01</v>
      </c>
      <c r="L33" t="inlineStr" s="14">
        <is>
          <t xml:space="preserve"/>
        </is>
      </c>
      <c r="M33" s="2">
        <f>IF(L33="",2720.84,ROUND(ROUND(549.50*(100-L33)/(100+5),2)*8,2))</f>
        <v>2720.84</v>
      </c>
    </row>
    <row r="34">
      <c r="A34" t="inlineStr" s="5">
        <is>
          <t xml:space="preserve">29.</t>
        </is>
      </c>
      <c r="B34" t="inlineStr" s="5">
        <is>
          <t xml:space="preserve">SS 101 BLACK</t>
        </is>
      </c>
      <c r="C34" t="inlineStr" s="5">
        <is>
          <t xml:space="preserve">64029990</t>
        </is>
      </c>
      <c r="D34" t="inlineStr" s="5">
        <is>
          <t xml:space="preserve">5 %</t>
        </is>
      </c>
      <c r="E34" t="inlineStr" s="5">
        <is>
          <t xml:space="preserve">6X10</t>
        </is>
      </c>
      <c r="F34" s="18">
        <v>825</v>
      </c>
      <c r="G34" t="inlineStr" s="5">
        <is>
          <t xml:space="preserve">9 pair</t>
        </is>
      </c>
      <c r="H34" s="2">
        <v>565.71</v>
      </c>
      <c r="I34" t="inlineStr" s="6">
        <is>
          <t xml:space="preserve">9.82 %</t>
        </is>
      </c>
      <c r="J34" s="2">
        <v>4591.42</v>
      </c>
      <c r="K34" s="12">
        <v>35.07</v>
      </c>
      <c r="L34" t="inlineStr" s="14">
        <is>
          <t xml:space="preserve"/>
        </is>
      </c>
      <c r="M34" s="2">
        <f>IF(L34="",4591.42,ROUND(ROUND(825*(100-L34)/(100+5),2)*9,2))</f>
        <v>4591.42</v>
      </c>
    </row>
    <row r="35">
      <c r="A35" t="inlineStr" s="5">
        <is>
          <t xml:space="preserve">30.</t>
        </is>
      </c>
      <c r="B35" t="inlineStr" s="5">
        <is>
          <t xml:space="preserve">SL 309 LT. GREY PINK</t>
        </is>
      </c>
      <c r="C35" t="inlineStr" s="5">
        <is>
          <t xml:space="preserve">64029990</t>
        </is>
      </c>
      <c r="D35" t="inlineStr" s="5">
        <is>
          <t xml:space="preserve">5 %</t>
        </is>
      </c>
      <c r="E35" t="inlineStr" s="5">
        <is>
          <t xml:space="preserve">5X8</t>
        </is>
      </c>
      <c r="F35" s="18">
        <v>999</v>
      </c>
      <c r="G35" t="inlineStr" s="5">
        <is>
          <t xml:space="preserve">2 pair</t>
        </is>
      </c>
      <c r="H35" s="2">
        <v>685.71</v>
      </c>
      <c r="I35" t="inlineStr" s="6">
        <is>
          <t xml:space="preserve">9.82 %</t>
        </is>
      </c>
      <c r="J35" s="2">
        <v>1236.75</v>
      </c>
      <c r="K35" s="12">
        <v>35.01</v>
      </c>
      <c r="L35" t="inlineStr" s="14">
        <is>
          <t xml:space="preserve"/>
        </is>
      </c>
      <c r="M35" s="2">
        <f>IF(L35="",1236.75,ROUND(ROUND(999*(100-L35)/(100+5),2)*2,2))</f>
        <v>1236.75</v>
      </c>
    </row>
    <row r="36">
      <c r="A36" t="inlineStr" s="5">
        <is>
          <t xml:space="preserve">31.</t>
        </is>
      </c>
      <c r="B36" t="inlineStr" s="5">
        <is>
          <t xml:space="preserve">SFL 2115 BLK WHT</t>
        </is>
      </c>
      <c r="C36" t="inlineStr" s="5">
        <is>
          <t xml:space="preserve">64029990</t>
        </is>
      </c>
      <c r="D36" t="inlineStr" s="5">
        <is>
          <t xml:space="preserve">5 %</t>
        </is>
      </c>
      <c r="E36" t="inlineStr" s="5">
        <is>
          <t xml:space="preserve">5X8</t>
        </is>
      </c>
      <c r="F36" s="2">
        <v>399.50</v>
      </c>
      <c r="G36" t="inlineStr" s="5">
        <is>
          <t xml:space="preserve">6 pair</t>
        </is>
      </c>
      <c r="H36" s="2">
        <v>274.29</v>
      </c>
      <c r="I36" t="inlineStr" s="6">
        <is>
          <t xml:space="preserve">9.82 %</t>
        </is>
      </c>
      <c r="J36" s="2">
        <v>1484.13</v>
      </c>
      <c r="K36" s="12">
        <v>34.99</v>
      </c>
      <c r="L36" t="inlineStr" s="14">
        <is>
          <t xml:space="preserve"/>
        </is>
      </c>
      <c r="M36" s="2">
        <f>IF(L36="",1484.13,ROUND(ROUND(399.50*(100-L36)/(100+5),2)*6,2))</f>
        <v>1484.13</v>
      </c>
    </row>
    <row r="37">
      <c r="A37" t="inlineStr" s="5">
        <is>
          <t xml:space="preserve">32.</t>
        </is>
      </c>
      <c r="B37" t="inlineStr" s="5">
        <is>
          <t xml:space="preserve">SFG 48 BLACK RED</t>
        </is>
      </c>
      <c r="C37" t="inlineStr" s="5">
        <is>
          <t xml:space="preserve">64029990</t>
        </is>
      </c>
      <c r="D37" t="inlineStr" s="5">
        <is>
          <t xml:space="preserve">5 %</t>
        </is>
      </c>
      <c r="E37" t="inlineStr" s="5">
        <is>
          <t xml:space="preserve">11X12</t>
        </is>
      </c>
      <c r="F37" s="18">
        <v>649</v>
      </c>
      <c r="G37" t="inlineStr" s="5">
        <is>
          <t xml:space="preserve">4 pair</t>
        </is>
      </c>
      <c r="H37" s="2">
        <v>445.71</v>
      </c>
      <c r="I37" t="inlineStr" s="6">
        <is>
          <t xml:space="preserve">9.82 %</t>
        </is>
      </c>
      <c r="J37" s="2">
        <v>1607.77</v>
      </c>
      <c r="K37" s="12">
        <v>34.97</v>
      </c>
      <c r="L37" t="inlineStr" s="14">
        <is>
          <t xml:space="preserve"/>
        </is>
      </c>
      <c r="M37" s="2">
        <f>IF(L37="",1607.77,ROUND(ROUND(649*(100-L37)/(100+5),2)*4,2))</f>
        <v>1607.77</v>
      </c>
    </row>
    <row r="38">
      <c r="A38" t="inlineStr" s="5">
        <is>
          <t xml:space="preserve">33.</t>
        </is>
      </c>
      <c r="B38" t="inlineStr" s="5">
        <is>
          <t xml:space="preserve">SS 101 -BLACK</t>
        </is>
      </c>
      <c r="C38" t="inlineStr" s="5">
        <is>
          <t xml:space="preserve">64029990</t>
        </is>
      </c>
      <c r="D38" t="inlineStr" s="5">
        <is>
          <t xml:space="preserve">5 %</t>
        </is>
      </c>
      <c r="E38" t="inlineStr" s="5">
        <is>
          <t xml:space="preserve">11X1</t>
        </is>
      </c>
      <c r="F38" s="18">
        <v>649</v>
      </c>
      <c r="G38" t="inlineStr" s="5">
        <is>
          <t xml:space="preserve">6 pair</t>
        </is>
      </c>
      <c r="H38" s="2">
        <v>445.71</v>
      </c>
      <c r="I38" t="inlineStr" s="6">
        <is>
          <t xml:space="preserve">9.82 %</t>
        </is>
      </c>
      <c r="J38" s="2">
        <v>2411.65</v>
      </c>
      <c r="K38" s="12">
        <v>34.97</v>
      </c>
      <c r="L38" t="inlineStr" s="14">
        <is>
          <t xml:space="preserve"/>
        </is>
      </c>
      <c r="M38" s="2">
        <f>IF(L38="",2411.65,ROUND(ROUND(649*(100-L38)/(100+5),2)*6,2))</f>
        <v>2411.65</v>
      </c>
    </row>
    <row r="39">
      <c r="A39" t="inlineStr" s="5">
        <is>
          <t xml:space="preserve">34.</t>
        </is>
      </c>
      <c r="B39" t="inlineStr" s="5">
        <is>
          <t xml:space="preserve">SFG 240 BROWN CAMEL</t>
        </is>
      </c>
      <c r="C39" t="inlineStr" s="5">
        <is>
          <t xml:space="preserve">64029990</t>
        </is>
      </c>
      <c r="D39" t="inlineStr" s="5">
        <is>
          <t xml:space="preserve">5 %</t>
        </is>
      </c>
      <c r="E39" t="inlineStr" s="5">
        <is>
          <t xml:space="preserve">6X10</t>
        </is>
      </c>
      <c r="F39" s="18">
        <v>549</v>
      </c>
      <c r="G39" t="inlineStr" s="5">
        <is>
          <t xml:space="preserve">6 pair</t>
        </is>
      </c>
      <c r="H39" s="2">
        <v>377.14</v>
      </c>
      <c r="I39" t="inlineStr" s="6">
        <is>
          <t xml:space="preserve">9.82 %</t>
        </is>
      </c>
      <c r="J39" s="2">
        <v>2040.63</v>
      </c>
      <c r="K39" s="12">
        <v>34.95</v>
      </c>
      <c r="L39" t="inlineStr" s="14">
        <is>
          <t xml:space="preserve"/>
        </is>
      </c>
      <c r="M39" s="2">
        <f>IF(L39="",2040.63,ROUND(ROUND(549*(100-L39)/(100+5),2)*6,2))</f>
        <v>2040.63</v>
      </c>
    </row>
    <row r="40">
      <c r="A40" t="inlineStr" s="5">
        <is>
          <t xml:space="preserve">35.</t>
        </is>
      </c>
      <c r="B40" t="inlineStr" s="5">
        <is>
          <t xml:space="preserve">SFG 234 CAMEL BROWN</t>
        </is>
      </c>
      <c r="C40" t="inlineStr" s="5">
        <is>
          <t xml:space="preserve">64029990</t>
        </is>
      </c>
      <c r="D40" t="inlineStr" s="5">
        <is>
          <t xml:space="preserve">5 %</t>
        </is>
      </c>
      <c r="E40" t="inlineStr" s="5">
        <is>
          <t xml:space="preserve">7X10</t>
        </is>
      </c>
      <c r="F40" s="18">
        <v>599</v>
      </c>
      <c r="G40" t="inlineStr" s="5">
        <is>
          <t xml:space="preserve">5 pair</t>
        </is>
      </c>
      <c r="H40" s="2">
        <v>411.43</v>
      </c>
      <c r="I40" t="inlineStr" s="6">
        <is>
          <t xml:space="preserve">9.82 %</t>
        </is>
      </c>
      <c r="J40" s="2">
        <v>1855.14</v>
      </c>
      <c r="K40" s="12">
        <v>34.96</v>
      </c>
      <c r="L40" t="inlineStr" s="14">
        <is>
          <t xml:space="preserve"/>
        </is>
      </c>
      <c r="M40" s="2">
        <f>IF(L40="",1855.14,ROUND(ROUND(599*(100-L40)/(100+5),2)*5,2))</f>
        <v>1855.14</v>
      </c>
    </row>
    <row r="41">
      <c r="A41" t="inlineStr" s="5">
        <is>
          <t xml:space="preserve">36.</t>
        </is>
      </c>
      <c r="B41" t="inlineStr" s="5">
        <is>
          <t xml:space="preserve">WLR 70414 MAUVE</t>
        </is>
      </c>
      <c r="C41" t="inlineStr" s="5">
        <is>
          <t xml:space="preserve">64029990</t>
        </is>
      </c>
      <c r="D41" t="inlineStr" s="5">
        <is>
          <t xml:space="preserve">5 %</t>
        </is>
      </c>
      <c r="E41" t="inlineStr" s="5">
        <is>
          <t xml:space="preserve">5X8</t>
        </is>
      </c>
      <c r="F41" s="18">
        <v>429</v>
      </c>
      <c r="G41" t="inlineStr" s="5">
        <is>
          <t xml:space="preserve">6 pair</t>
        </is>
      </c>
      <c r="H41" s="2">
        <v>286.67</v>
      </c>
      <c r="I41" t="inlineStr" s="6">
        <is>
          <t xml:space="preserve">7.45 %</t>
        </is>
      </c>
      <c r="J41" s="2">
        <v>1591.88</v>
      </c>
      <c r="K41" s="12">
        <v>35.06</v>
      </c>
      <c r="L41" t="inlineStr" s="14">
        <is>
          <t xml:space="preserve"/>
        </is>
      </c>
      <c r="M41" s="2">
        <f>IF(L41="",1591.88,ROUND(ROUND(429*(100-L41)/(100+5),2)*6,2))</f>
        <v>1591.88</v>
      </c>
    </row>
    <row r="42">
      <c r="A42" t="inlineStr" s="5">
        <is>
          <t xml:space="preserve">37.</t>
        </is>
      </c>
      <c r="B42" t="inlineStr" s="5">
        <is>
          <t xml:space="preserve">SFG 241 BROWN BEIGN</t>
        </is>
      </c>
      <c r="C42" t="inlineStr" s="5">
        <is>
          <t xml:space="preserve">64029990</t>
        </is>
      </c>
      <c r="D42" t="inlineStr" s="5">
        <is>
          <t xml:space="preserve">5 %</t>
        </is>
      </c>
      <c r="E42" t="inlineStr" s="5">
        <is>
          <t xml:space="preserve">7X10</t>
        </is>
      </c>
      <c r="F42" s="2">
        <v>499.50</v>
      </c>
      <c r="G42" t="inlineStr" s="5">
        <is>
          <t xml:space="preserve">8 pair</t>
        </is>
      </c>
      <c r="H42" s="2">
        <v>342.86</v>
      </c>
      <c r="I42" t="inlineStr" s="6">
        <is>
          <t xml:space="preserve">9.82 %</t>
        </is>
      </c>
      <c r="J42" s="2">
        <v>2473.53</v>
      </c>
      <c r="K42" s="12">
        <v>35.00</v>
      </c>
      <c r="L42" t="inlineStr" s="14">
        <is>
          <t xml:space="preserve"/>
        </is>
      </c>
      <c r="M42" s="2">
        <f>IF(L42="",2473.53,ROUND(ROUND(499.50*(100-L42)/(100+5),2)*8,2))</f>
        <v>2473.53</v>
      </c>
    </row>
    <row r="43">
      <c r="A43" t="inlineStr" s="5">
        <is>
          <t xml:space="preserve">38.</t>
        </is>
      </c>
      <c r="B43" t="inlineStr" s="5">
        <is>
          <t xml:space="preserve">SM 1090 N.BLUE/LT.GREY</t>
        </is>
      </c>
      <c r="C43" t="inlineStr" s="5">
        <is>
          <t xml:space="preserve">64029990</t>
        </is>
      </c>
      <c r="D43" t="inlineStr" s="5">
        <is>
          <t xml:space="preserve">5 %</t>
        </is>
      </c>
      <c r="E43" t="inlineStr" s="5">
        <is>
          <t xml:space="preserve">9X10</t>
        </is>
      </c>
      <c r="F43" s="18">
        <v>849</v>
      </c>
      <c r="G43" t="inlineStr" s="5">
        <is>
          <t xml:space="preserve">2 pair</t>
        </is>
      </c>
      <c r="H43" s="2">
        <v>582.86</v>
      </c>
      <c r="I43" t="inlineStr" s="6">
        <is>
          <t xml:space="preserve">9.82 %</t>
        </is>
      </c>
      <c r="J43" s="2">
        <v>1051.25</v>
      </c>
      <c r="K43" s="12">
        <v>34.99</v>
      </c>
      <c r="L43" t="inlineStr" s="14">
        <is>
          <t xml:space="preserve"/>
        </is>
      </c>
      <c r="M43" s="2">
        <f>IF(L43="",1051.25,ROUND(ROUND(849*(100-L43)/(100+5),2)*2,2))</f>
        <v>1051.25</v>
      </c>
    </row>
    <row r="44">
      <c r="A44" t="inlineStr" s="5">
        <is>
          <t xml:space="preserve">39.</t>
        </is>
      </c>
      <c r="B44" t="inlineStr" s="5">
        <is>
          <t xml:space="preserve">SS 703 BLACK RED</t>
        </is>
      </c>
      <c r="C44" t="inlineStr" s="5">
        <is>
          <t xml:space="preserve">64029990</t>
        </is>
      </c>
      <c r="D44" t="inlineStr" s="5">
        <is>
          <t xml:space="preserve">5 %</t>
        </is>
      </c>
      <c r="E44" t="inlineStr" s="5">
        <is>
          <t xml:space="preserve">7X10</t>
        </is>
      </c>
      <c r="F44" s="18">
        <v>649</v>
      </c>
      <c r="G44" t="inlineStr" s="5">
        <is>
          <t xml:space="preserve">1 pair</t>
        </is>
      </c>
      <c r="H44" s="2">
        <v>445.71</v>
      </c>
      <c r="I44" t="inlineStr" s="6">
        <is>
          <t xml:space="preserve">9.82 %</t>
        </is>
      </c>
      <c r="J44" s="2">
        <v>401.94</v>
      </c>
      <c r="K44" s="12">
        <v>34.97</v>
      </c>
      <c r="L44" t="inlineStr" s="14">
        <is>
          <t xml:space="preserve"/>
        </is>
      </c>
      <c r="M44" s="2">
        <f>IF(L44="",401.94,ROUND(ROUND(649*(100-L44)/(100+5),2)*1,2))</f>
        <v>401.94</v>
      </c>
    </row>
    <row r="45">
      <c r="A45" t="inlineStr" s="5">
        <is>
          <t xml:space="preserve">40.</t>
        </is>
      </c>
      <c r="B45" t="inlineStr" s="5">
        <is>
          <t xml:space="preserve">SS 703 BLACK RED</t>
        </is>
      </c>
      <c r="C45" t="inlineStr" s="5">
        <is>
          <t xml:space="preserve">64029990</t>
        </is>
      </c>
      <c r="D45" t="inlineStr" s="5">
        <is>
          <t xml:space="preserve">5 %</t>
        </is>
      </c>
      <c r="E45" t="inlineStr" s="5">
        <is>
          <t xml:space="preserve">7X10</t>
        </is>
      </c>
      <c r="F45" s="18">
        <v>599</v>
      </c>
      <c r="G45" t="inlineStr" s="5">
        <is>
          <t xml:space="preserve">2 pair</t>
        </is>
      </c>
      <c r="H45" s="2">
        <v>411.43</v>
      </c>
      <c r="I45" t="inlineStr" s="6">
        <is>
          <t xml:space="preserve">9.82 %</t>
        </is>
      </c>
      <c r="J45" s="2">
        <v>742.06</v>
      </c>
      <c r="K45" s="12">
        <v>34.96</v>
      </c>
      <c r="L45" t="inlineStr" s="14">
        <is>
          <t xml:space="preserve"/>
        </is>
      </c>
      <c r="M45" s="2">
        <f>IF(L45="",742.06,ROUND(ROUND(599*(100-L45)/(100+5),2)*2,2))</f>
        <v>742.06</v>
      </c>
    </row>
    <row r="46">
      <c r="A46" t="inlineStr" s="5">
        <is>
          <t xml:space="preserve">41.</t>
        </is>
      </c>
      <c r="B46" t="inlineStr" s="5">
        <is>
          <t xml:space="preserve">SS 727 BROWN TAN</t>
        </is>
      </c>
      <c r="C46" t="inlineStr" s="5">
        <is>
          <t xml:space="preserve">64029990</t>
        </is>
      </c>
      <c r="D46" t="inlineStr" s="5">
        <is>
          <t xml:space="preserve">5 %</t>
        </is>
      </c>
      <c r="E46" t="inlineStr" s="5">
        <is>
          <t xml:space="preserve">7X10</t>
        </is>
      </c>
      <c r="F46" s="18">
        <v>749</v>
      </c>
      <c r="G46" t="inlineStr" s="5">
        <is>
          <t xml:space="preserve">6 pair</t>
        </is>
      </c>
      <c r="H46" s="2">
        <v>514.29</v>
      </c>
      <c r="I46" t="inlineStr" s="6">
        <is>
          <t xml:space="preserve">9.82 %</t>
        </is>
      </c>
      <c r="J46" s="2">
        <v>2782.72</v>
      </c>
      <c r="K46" s="12">
        <v>34.98</v>
      </c>
      <c r="L46" t="inlineStr" s="14">
        <is>
          <t xml:space="preserve"/>
        </is>
      </c>
      <c r="M46" s="2">
        <f>IF(L46="",2782.72,ROUND(ROUND(749*(100-L46)/(100+5),2)*6,2))</f>
        <v>2782.72</v>
      </c>
    </row>
    <row r="47">
      <c r="A47" t="inlineStr" s="5">
        <is>
          <t xml:space="preserve">42.</t>
        </is>
      </c>
      <c r="B47" t="inlineStr" s="5">
        <is>
          <t xml:space="preserve">SS 481 BLACK BEIGE</t>
        </is>
      </c>
      <c r="C47" t="inlineStr" s="5">
        <is>
          <t xml:space="preserve">64029990</t>
        </is>
      </c>
      <c r="D47" t="inlineStr" s="5">
        <is>
          <t xml:space="preserve">5 %</t>
        </is>
      </c>
      <c r="E47" t="inlineStr" s="5">
        <is>
          <t xml:space="preserve">7X10</t>
        </is>
      </c>
      <c r="F47" s="18">
        <v>999</v>
      </c>
      <c r="G47" t="inlineStr" s="5">
        <is>
          <t xml:space="preserve">2 pair</t>
        </is>
      </c>
      <c r="H47" s="2">
        <v>685.71</v>
      </c>
      <c r="I47" t="inlineStr" s="6">
        <is>
          <t xml:space="preserve">9.82 %</t>
        </is>
      </c>
      <c r="J47" s="2">
        <v>1236.75</v>
      </c>
      <c r="K47" s="12">
        <v>35.01</v>
      </c>
      <c r="L47" t="inlineStr" s="14">
        <is>
          <t xml:space="preserve"/>
        </is>
      </c>
      <c r="M47" s="2">
        <f>IF(L47="",1236.75,ROUND(ROUND(999*(100-L47)/(100+5),2)*2,2))</f>
        <v>1236.75</v>
      </c>
    </row>
    <row r="48">
      <c r="A48" t="inlineStr" s="5">
        <is>
          <t xml:space="preserve">43.</t>
        </is>
      </c>
      <c r="B48" t="inlineStr" s="5">
        <is>
          <t xml:space="preserve">SM 722 BLACK GOLD</t>
        </is>
      </c>
      <c r="C48" t="inlineStr" s="5">
        <is>
          <t xml:space="preserve">64029990</t>
        </is>
      </c>
      <c r="D48" t="inlineStr" s="5">
        <is>
          <t xml:space="preserve">5 %</t>
        </is>
      </c>
      <c r="E48" t="inlineStr" s="5">
        <is>
          <t xml:space="preserve">7X10</t>
        </is>
      </c>
      <c r="F48" s="18">
        <v>1299</v>
      </c>
      <c r="G48" t="inlineStr" s="5">
        <is>
          <t xml:space="preserve">2 pair</t>
        </is>
      </c>
      <c r="H48" s="2">
        <v>891.43</v>
      </c>
      <c r="I48" t="inlineStr" s="6">
        <is>
          <t xml:space="preserve">9.82 %</t>
        </is>
      </c>
      <c r="J48" s="2">
        <v>1607.78</v>
      </c>
      <c r="K48" s="12">
        <v>35.02</v>
      </c>
      <c r="L48" t="inlineStr" s="14">
        <is>
          <t xml:space="preserve"/>
        </is>
      </c>
      <c r="M48" s="2">
        <f>IF(L48="",1607.78,ROUND(ROUND(1299*(100-L48)/(100+5),2)*2,2))</f>
        <v>1607.78</v>
      </c>
    </row>
    <row r="49">
      <c r="A49" t="inlineStr" s="5">
        <is>
          <t xml:space="preserve">44.</t>
        </is>
      </c>
      <c r="B49" t="inlineStr" s="5">
        <is>
          <t xml:space="preserve">SS 728 BLACK RED</t>
        </is>
      </c>
      <c r="C49" t="inlineStr" s="5">
        <is>
          <t xml:space="preserve">64029990</t>
        </is>
      </c>
      <c r="D49" t="inlineStr" s="5">
        <is>
          <t xml:space="preserve">5 %</t>
        </is>
      </c>
      <c r="E49" t="inlineStr" s="5">
        <is>
          <t xml:space="preserve">7X10</t>
        </is>
      </c>
      <c r="F49" s="18">
        <v>675</v>
      </c>
      <c r="G49" t="inlineStr" s="5">
        <is>
          <t xml:space="preserve">6 pair</t>
        </is>
      </c>
      <c r="H49" s="2">
        <v>462.86</v>
      </c>
      <c r="I49" t="inlineStr" s="6">
        <is>
          <t xml:space="preserve">9.82 %</t>
        </is>
      </c>
      <c r="J49" s="2">
        <v>2504.44</v>
      </c>
      <c r="K49" s="12">
        <v>35.07</v>
      </c>
      <c r="L49" t="inlineStr" s="14">
        <is>
          <t xml:space="preserve"/>
        </is>
      </c>
      <c r="M49" s="2">
        <f>IF(L49="",2504.44,ROUND(ROUND(675*(100-L49)/(100+5),2)*6,2))</f>
        <v>2504.44</v>
      </c>
    </row>
    <row r="50">
      <c r="A50" t="inlineStr" s="5">
        <is>
          <t xml:space="preserve">45.</t>
        </is>
      </c>
      <c r="B50" t="inlineStr" s="5">
        <is>
          <t xml:space="preserve">SS 729 TAN BLACK</t>
        </is>
      </c>
      <c r="C50" t="inlineStr" s="5">
        <is>
          <t xml:space="preserve">64029990</t>
        </is>
      </c>
      <c r="D50" t="inlineStr" s="5">
        <is>
          <t xml:space="preserve">5 %</t>
        </is>
      </c>
      <c r="E50" t="inlineStr" s="5">
        <is>
          <t xml:space="preserve">7X10</t>
        </is>
      </c>
      <c r="F50" s="18">
        <v>675</v>
      </c>
      <c r="G50" t="inlineStr" s="5">
        <is>
          <t xml:space="preserve">6 pair</t>
        </is>
      </c>
      <c r="H50" s="2">
        <v>462.86</v>
      </c>
      <c r="I50" t="inlineStr" s="6">
        <is>
          <t xml:space="preserve">9.82 %</t>
        </is>
      </c>
      <c r="J50" s="2">
        <v>2504.44</v>
      </c>
      <c r="K50" s="12">
        <v>35.07</v>
      </c>
      <c r="L50" t="inlineStr" s="14">
        <is>
          <t xml:space="preserve"/>
        </is>
      </c>
      <c r="M50" s="2">
        <f>IF(L50="",2504.44,ROUND(ROUND(675*(100-L50)/(100+5),2)*6,2))</f>
        <v>2504.44</v>
      </c>
    </row>
    <row r="51">
      <c r="A51" t="inlineStr" s="5">
        <is>
          <t xml:space="preserve">46.</t>
        </is>
      </c>
      <c r="B51" t="inlineStr" s="5">
        <is>
          <t xml:space="preserve">SS 727 FT. GREEN PISTA</t>
        </is>
      </c>
      <c r="C51" t="inlineStr" s="5">
        <is>
          <t xml:space="preserve">64029990</t>
        </is>
      </c>
      <c r="D51" t="inlineStr" s="5">
        <is>
          <t xml:space="preserve">5 %</t>
        </is>
      </c>
      <c r="E51" t="inlineStr" s="5">
        <is>
          <t xml:space="preserve">6X10</t>
        </is>
      </c>
      <c r="F51" s="18">
        <v>749</v>
      </c>
      <c r="G51" t="inlineStr" s="5">
        <is>
          <t xml:space="preserve">6 pair</t>
        </is>
      </c>
      <c r="H51" s="2">
        <v>514.29</v>
      </c>
      <c r="I51" t="inlineStr" s="6">
        <is>
          <t xml:space="preserve">9.82 %</t>
        </is>
      </c>
      <c r="J51" s="2">
        <v>2782.72</v>
      </c>
      <c r="K51" s="12">
        <v>34.98</v>
      </c>
      <c r="L51" t="inlineStr" s="14">
        <is>
          <t xml:space="preserve"/>
        </is>
      </c>
      <c r="M51" s="2">
        <f>IF(L51="",2782.72,ROUND(ROUND(749*(100-L51)/(100+5),2)*6,2))</f>
        <v>2782.72</v>
      </c>
    </row>
    <row r="52">
      <c r="A52" t="inlineStr" s="5">
        <is>
          <t xml:space="preserve">47.</t>
        </is>
      </c>
      <c r="B52" t="inlineStr" s="5">
        <is>
          <t xml:space="preserve">SL 309 LT. GREY PINK</t>
        </is>
      </c>
      <c r="C52" t="inlineStr" s="5">
        <is>
          <t xml:space="preserve">64029990</t>
        </is>
      </c>
      <c r="D52" t="inlineStr" s="5">
        <is>
          <t xml:space="preserve">5 %</t>
        </is>
      </c>
      <c r="E52" t="inlineStr" s="5">
        <is>
          <t xml:space="preserve">5X8</t>
        </is>
      </c>
      <c r="F52" s="18">
        <v>999</v>
      </c>
      <c r="G52" t="inlineStr" s="5">
        <is>
          <t xml:space="preserve">1 pair</t>
        </is>
      </c>
      <c r="H52" s="2">
        <v>685.71</v>
      </c>
      <c r="I52" t="inlineStr" s="6">
        <is>
          <t xml:space="preserve">9.82 %</t>
        </is>
      </c>
      <c r="J52" s="2">
        <v>618.37</v>
      </c>
      <c r="K52" s="12">
        <v>35.01</v>
      </c>
      <c r="L52" t="inlineStr" s="14">
        <is>
          <t xml:space="preserve"/>
        </is>
      </c>
      <c r="M52" s="2">
        <f>IF(L52="",618.37,ROUND(ROUND(999*(100-L52)/(100+5),2)*1,2))</f>
        <v>618.37</v>
      </c>
    </row>
    <row r="53">
      <c r="A53" t="inlineStr" s="5">
        <is>
          <t xml:space="preserve">48.</t>
        </is>
      </c>
      <c r="B53" t="inlineStr" s="5">
        <is>
          <t xml:space="preserve">FL 366 BEIGN MAROON</t>
        </is>
      </c>
      <c r="C53" t="inlineStr" s="5">
        <is>
          <t xml:space="preserve">64029990</t>
        </is>
      </c>
      <c r="D53" t="inlineStr" s="5">
        <is>
          <t xml:space="preserve">5 %</t>
        </is>
      </c>
      <c r="E53" t="inlineStr" s="5">
        <is>
          <t xml:space="preserve">5X8</t>
        </is>
      </c>
      <c r="F53" s="2">
        <v>164.50</v>
      </c>
      <c r="G53" t="inlineStr" s="5">
        <is>
          <t xml:space="preserve">1 pair</t>
        </is>
      </c>
      <c r="H53" s="2">
        <v>113.33</v>
      </c>
      <c r="I53" t="inlineStr" s="6">
        <is>
          <t xml:space="preserve">9.82 %</t>
        </is>
      </c>
      <c r="J53" s="2">
        <v>102.20</v>
      </c>
      <c r="K53" s="12">
        <v>34.77</v>
      </c>
      <c r="L53" t="inlineStr" s="14">
        <is>
          <t xml:space="preserve"/>
        </is>
      </c>
      <c r="M53" s="2">
        <f>IF(L53="",102.20,ROUND(ROUND(164.50*(100-L53)/(100+5),2)*1,2))</f>
        <v>102.20</v>
      </c>
    </row>
    <row r="54">
      <c r="A54" t="inlineStr" s="5">
        <is>
          <t xml:space="preserve">49.</t>
        </is>
      </c>
      <c r="B54" t="inlineStr" s="5">
        <is>
          <t xml:space="preserve">SFG 57 BROWN/TAN</t>
        </is>
      </c>
      <c r="C54" t="inlineStr" s="5">
        <is>
          <t xml:space="preserve">64029990</t>
        </is>
      </c>
      <c r="D54" t="inlineStr" s="5">
        <is>
          <t xml:space="preserve">5 %</t>
        </is>
      </c>
      <c r="E54" t="inlineStr" s="5">
        <is>
          <t xml:space="preserve">7X10</t>
        </is>
      </c>
      <c r="F54" s="2">
        <v>899.50</v>
      </c>
      <c r="G54" t="inlineStr" s="5">
        <is>
          <t xml:space="preserve">1 pair</t>
        </is>
      </c>
      <c r="H54" s="2">
        <v>617.14</v>
      </c>
      <c r="I54" t="inlineStr" s="6">
        <is>
          <t xml:space="preserve">9.82 %</t>
        </is>
      </c>
      <c r="J54" s="2">
        <v>556.54</v>
      </c>
      <c r="K54" s="12">
        <v>35.03</v>
      </c>
      <c r="L54" t="inlineStr" s="14">
        <is>
          <t xml:space="preserve"/>
        </is>
      </c>
      <c r="M54" s="2">
        <f>IF(L54="",556.54,ROUND(ROUND(899.50*(100-L54)/(100+5),2)*1,2))</f>
        <v>556.54</v>
      </c>
    </row>
    <row r="55">
      <c r="A55" t="inlineStr" s="5">
        <is>
          <t xml:space="preserve">50.</t>
        </is>
      </c>
      <c r="B55" t="inlineStr" s="5">
        <is>
          <t xml:space="preserve">FL 532 PISTA</t>
        </is>
      </c>
      <c r="C55" t="inlineStr" s="5">
        <is>
          <t xml:space="preserve">64029990</t>
        </is>
      </c>
      <c r="D55" t="inlineStr" s="5">
        <is>
          <t xml:space="preserve">5 %</t>
        </is>
      </c>
      <c r="E55" t="inlineStr" s="5">
        <is>
          <t xml:space="preserve">5X7</t>
        </is>
      </c>
      <c r="F55" s="2">
        <v>219.50</v>
      </c>
      <c r="G55" t="inlineStr" s="5">
        <is>
          <t xml:space="preserve">1 pair</t>
        </is>
      </c>
      <c r="H55" s="2">
        <v>151.43</v>
      </c>
      <c r="I55" t="inlineStr" s="6">
        <is>
          <t xml:space="preserve">9.82 %</t>
        </is>
      </c>
      <c r="J55" s="2">
        <v>136.56</v>
      </c>
      <c r="K55" s="12">
        <v>34.68</v>
      </c>
      <c r="L55" t="inlineStr" s="14">
        <is>
          <t xml:space="preserve"/>
        </is>
      </c>
      <c r="M55" s="2">
        <f>IF(L55="",136.56,ROUND(ROUND(219.50*(100-L55)/(100+5),2)*1,2))</f>
        <v>136.56</v>
      </c>
    </row>
    <row r="56">
      <c r="A56" t="inlineStr" s="5">
        <is>
          <t xml:space="preserve">51.</t>
        </is>
      </c>
      <c r="B56" t="inlineStr" s="5">
        <is>
          <t xml:space="preserve">ASIAN SAFARI-15 BLACK-GREY</t>
        </is>
      </c>
      <c r="C56" t="inlineStr" s="5">
        <is>
          <t xml:space="preserve">64029990</t>
        </is>
      </c>
      <c r="D56" t="inlineStr" s="5">
        <is>
          <t xml:space="preserve">5 %</t>
        </is>
      </c>
      <c r="E56" t="inlineStr" s="5">
        <is>
          <t xml:space="preserve">7X10</t>
        </is>
      </c>
      <c r="F56" s="18">
        <v>279</v>
      </c>
      <c r="G56" t="inlineStr" s="5">
        <is>
          <t xml:space="preserve">6 pair</t>
        </is>
      </c>
      <c r="H56" s="2">
        <v>265.71</v>
      </c>
      <c r="I56" t="inlineStr" s="6">
        <is>
          <t xml:space="preserve">40 %</t>
        </is>
      </c>
      <c r="J56" s="2">
        <v>956.56</v>
      </c>
      <c r="K56" s="12">
        <v>40.00</v>
      </c>
      <c r="L56" t="inlineStr" s="14">
        <is>
          <t xml:space="preserve"/>
        </is>
      </c>
      <c r="M56" s="2">
        <f>IF(L56="",956.56,ROUND(ROUND(279*(100-L56)/(100+5),2)*6,2))</f>
        <v>956.56</v>
      </c>
    </row>
    <row r="57">
      <c r="B57" t="inlineStr" s="16">
        <is>
          <t xml:space="preserve">Total</t>
        </is>
      </c>
      <c r="G57" t="inlineStr" s="16">
        <is>
          <t xml:space="preserve">212 pairs</t>
        </is>
      </c>
      <c r="J57" s="15">
        <v>102237.72</v>
      </c>
      <c r="K57" s="12">
        <v>35.06</v>
      </c>
      <c r="M57" s="15">
        <f>SUM(M6:M56)</f>
        <v>102237.72</v>
      </c>
    </row>
    <row r="58">
      <c r="B58" t="inlineStr" s="16">
        <is>
          <t xml:space="preserve">GST (CGST 2555.93 + SGST 2555.93)</t>
        </is>
      </c>
      <c r="J58" s="15">
        <v>5111.86</v>
      </c>
      <c r="M58" s="15">
        <f>ROUND((M6+M7+M8+M9+M10+M11+M12+M13+M14+M15+M16+M17+M18+M19+M20+M21+M22+M23+M24+M25+M26+M27+M28+M29+M30+M31+M32+M33+M34+M35+M36+M37+M38+M39+M40+M41+M42+M43+M44+M45+M46+M47+M48+M49+M50+M51+M52+M53+M54+M55+M56)*5/100,2)</f>
        <v>5111.89</v>
      </c>
    </row>
    <row r="59">
      <c r="B59" t="inlineStr" s="16">
        <is>
          <t xml:space="preserve">Round off</t>
        </is>
      </c>
      <c r="J59" s="15">
        <v>0.42</v>
      </c>
    </row>
    <row r="60">
      <c r="B60" t="inlineStr" s="16">
        <is>
          <t xml:space="preserve">Grand Total (printed on bill)</t>
        </is>
      </c>
      <c r="J60" s="15">
        <v>107350.00</v>
      </c>
      <c r="L60" t="inlineStr" s="16">
        <is>
          <t xml:space="preserve">नया Total →</t>
        </is>
      </c>
      <c r="M60" s="15">
        <f>ROUND(M57+M58,0)</f>
        <v>107350.00</v>
      </c>
    </row>
    <row r="61"/>
    <row r="62">
      <c r="B62" t="inlineStr" s="16">
        <is>
          <t xml:space="preserve">कंपनी-वार</t>
        </is>
      </c>
      <c r="K62" t="inlineStr" s="11">
        <is>
          <t xml:space="preserve">बैठा % (उन्होंने MRP पर असल कितना दिया)</t>
        </is>
      </c>
      <c r="L62" t="inlineStr" s="10">
        <is>
          <t xml:space="preserve">अपना % (बदल सकते हैं)</t>
        </is>
      </c>
      <c r="M62" t="inlineStr" s="1">
        <is>
          <t xml:space="preserve">नई रकम</t>
        </is>
      </c>
    </row>
    <row r="63">
      <c r="B63" t="inlineStr" s="16">
        <is>
          <t xml:space="preserve">SFG (20 lines · 97 pairs)</t>
        </is>
      </c>
      <c r="J63" s="15">
        <v>38957.70</v>
      </c>
      <c r="K63" s="12">
        <v>34.99</v>
      </c>
      <c r="L63" t="inlineStr" s="5">
        <is>
          <t xml:space="preserve"/>
        </is>
      </c>
      <c r="M63" t="inlineStr" s="5">
        <is>
          <t xml:space="preserve"/>
        </is>
      </c>
    </row>
    <row r="64">
      <c r="B64" t="inlineStr" s="16">
        <is>
          <t xml:space="preserve">SM (15 lines · 48 pairs)</t>
        </is>
      </c>
      <c r="J64" s="15">
        <v>37195.43</v>
      </c>
      <c r="K64" s="12">
        <v>35.02</v>
      </c>
      <c r="L64" t="inlineStr" s="5">
        <is>
          <t xml:space="preserve"/>
        </is>
      </c>
      <c r="M64" t="inlineStr" s="5">
        <is>
          <t xml:space="preserve"/>
        </is>
      </c>
    </row>
    <row r="65">
      <c r="B65" t="inlineStr" s="16">
        <is>
          <t xml:space="preserve">SS (9 lines · 44 pairs)</t>
        </is>
      </c>
      <c r="J65" s="15">
        <v>19958.14</v>
      </c>
      <c r="K65" s="12">
        <v>35.02</v>
      </c>
      <c r="L65" t="inlineStr" s="5">
        <is>
          <t xml:space="preserve"/>
        </is>
      </c>
      <c r="M65" t="inlineStr" s="5">
        <is>
          <t xml:space="preserve"/>
        </is>
      </c>
    </row>
    <row r="66">
      <c r="B66" t="inlineStr" s="16">
        <is>
          <t xml:space="preserve">SL (2 lines · 3 pairs)</t>
        </is>
      </c>
      <c r="J66" s="15">
        <v>1855.12</v>
      </c>
      <c r="K66" s="12">
        <v>35.01</v>
      </c>
      <c r="L66" t="inlineStr" s="5">
        <is>
          <t xml:space="preserve"/>
        </is>
      </c>
      <c r="M66" t="inlineStr" s="5">
        <is>
          <t xml:space="preserve"/>
        </is>
      </c>
    </row>
    <row r="67">
      <c r="B67" t="inlineStr" s="16">
        <is>
          <t xml:space="preserve">WLR (1 lines · 6 pairs)</t>
        </is>
      </c>
      <c r="J67" s="15">
        <v>1591.88</v>
      </c>
      <c r="K67" s="12">
        <v>35.06</v>
      </c>
      <c r="L67" t="inlineStr" s="5">
        <is>
          <t xml:space="preserve"/>
        </is>
      </c>
      <c r="M67" t="inlineStr" s="5">
        <is>
          <t xml:space="preserve"/>
        </is>
      </c>
    </row>
    <row r="68">
      <c r="B68" t="inlineStr" s="16">
        <is>
          <t xml:space="preserve">SFL (1 lines · 6 pairs)</t>
        </is>
      </c>
      <c r="J68" s="15">
        <v>1484.13</v>
      </c>
      <c r="K68" s="12">
        <v>34.99</v>
      </c>
      <c r="L68" t="inlineStr" s="5">
        <is>
          <t xml:space="preserve"/>
        </is>
      </c>
      <c r="M68" t="inlineStr" s="5">
        <is>
          <t xml:space="preserve"/>
        </is>
      </c>
    </row>
    <row r="69">
      <c r="B69" t="inlineStr" s="16">
        <is>
          <t xml:space="preserve">ASIAN (1 lines · 6 pairs)</t>
        </is>
      </c>
      <c r="J69" s="15">
        <v>956.56</v>
      </c>
      <c r="K69" s="12">
        <v>40.00</v>
      </c>
      <c r="L69" t="inlineStr" s="5">
        <is>
          <t xml:space="preserve"/>
        </is>
      </c>
      <c r="M69" t="inlineStr" s="5">
        <is>
          <t xml:space="preserve"/>
        </is>
      </c>
    </row>
    <row r="70">
      <c r="B70" t="inlineStr" s="16">
        <is>
          <t xml:space="preserve">FL (2 lines · 2 pairs)</t>
        </is>
      </c>
      <c r="J70" s="15">
        <v>238.76</v>
      </c>
      <c r="K70" s="12">
        <v>34.71</v>
      </c>
      <c r="L70" t="inlineStr" s="5">
        <is>
          <t xml:space="preserve"/>
        </is>
      </c>
      <c r="M70" t="inlineStr" s="5">
        <is>
          <t xml:space="preserve"/>
        </is>
      </c>
    </row>
  </sheetData>
  <autoFilter ref="A5:M70"/>
  <pageMargins left="0.4" right="0.4" top="0.5" bottom="0.5" header="0.3" footer="0.3"/>
  <pageSetup orientation="landscape" paperSize="9" fitToWidth="1" fitToHeight="0"/>
</worksheet>
</file>